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XP Check" sheetId="2" state="visible" r:id="rId2"/>
    <sheet name="Holds" sheetId="3" state="visible" r:id="rId3"/>
    <sheet name="AE Fan-out" sheetId="4" state="visible" r:id="rId4"/>
    <sheet name="Growth Tiers" sheetId="5" state="visible" r:id="rId5"/>
    <sheet name="Lookups" sheetId="6" state="visible" r:id="rId6"/>
    <sheet name="Assignments" sheetId="7" state="visible" r:id="rId7"/>
  </sheets>
  <definedNames>
    <definedName name="_xlnm._FilterDatabase" localSheetId="4" hidden="1">'Growth Tiers'!$A$1:$Z$52</definedName>
    <definedName name="_xlnm._FilterDatabase" localSheetId="6" hidden="1">'Assignments'!$A$1:$AE$278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;&quot;($&quot;#,##0\);\-"/>
    <numFmt numFmtId="165" formatCode="0.0%"/>
    <numFmt numFmtId="166" formatCode="\$#,##0"/>
    <numFmt numFmtId="167" formatCode="0.0"/>
    <numFmt numFmtId="168" formatCode="$#,##0"/>
    <numFmt numFmtId="169" formatCode="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10"/>
    </font>
    <font>
      <b val="1"/>
      <color rgb="00F6F8F9"/>
    </font>
    <font>
      <b val="1"/>
    </font>
  </fonts>
  <fills count="9">
    <fill>
      <patternFill/>
    </fill>
    <fill>
      <patternFill patternType="gray125"/>
    </fill>
    <fill>
      <patternFill patternType="solid">
        <fgColor rgb="FF1F3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001B2A33"/>
      </patternFill>
    </fill>
    <fill>
      <patternFill patternType="solid">
        <fgColor rgb="00F6E2D6"/>
      </patternFill>
    </fill>
    <fill>
      <patternFill patternType="solid">
        <fgColor rgb="00E7EAEC"/>
      </patternFill>
    </fill>
    <fill>
      <patternFill patternType="solid">
        <fgColor rgb="00D8EDE2"/>
      </patternFill>
    </fill>
    <fill>
      <patternFill patternType="solid">
        <fgColor rgb="00DAEAF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1" fillId="0" borderId="0" pivotButton="0" quotePrefix="0" xfId="0"/>
    <xf numFmtId="0" fontId="7" fillId="2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3" fontId="0" fillId="0" borderId="0" pivotButton="0" quotePrefix="0" xfId="0"/>
    <xf numFmtId="0" fontId="7" fillId="2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2" fontId="0" fillId="0" borderId="0" pivotButton="0" quotePrefix="0" xfId="0"/>
    <xf numFmtId="169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8D7D3"/>
        </patternFill>
      </fill>
    </dxf>
    <dxf>
      <fill>
        <patternFill patternType="solid">
          <fgColor rgb="FF1F3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9" min="1" max="1"/>
  </cols>
  <sheetData>
    <row r="1" ht="17.35" customHeight="1" s="20">
      <c r="A1" s="21" t="inlineStr">
        <is>
          <t>XP ↔ AE rebalance model (Enterprise)</t>
        </is>
      </c>
    </row>
    <row r="2" ht="15" customHeight="1" s="20">
      <c r="A2" s="22" t="n"/>
    </row>
    <row r="3" ht="15" customHeight="1" s="20">
      <c r="A3" s="23" t="inlineStr">
        <is>
          <t>What this is</t>
        </is>
      </c>
    </row>
    <row r="4" ht="35.05" customHeight="1" s="20">
      <c r="A4" s="22" t="inlineStr">
        <is>
          <t>Revised Enterprise assignments built to cut the number of AEs each XP works with, while holding the account cap, leadership holds, capacity and time-zone fit. Segmentation: every State and every Local ENT account is Enterprise (no special-entity overrides), plus DC. Source: Account Team export 9/21/26 (277 records, 209 countable, former customers excluded); AE mapping from the State map (6/12/26) and Local ENT map (6/30/26).</t>
        </is>
      </c>
    </row>
    <row r="5" ht="15" customHeight="1" s="20">
      <c r="A5" s="22" t="n"/>
    </row>
    <row r="6" ht="15" customHeight="1" s="20">
      <c r="A6" s="23" t="inlineStr">
        <is>
          <t>What to fill in</t>
        </is>
      </c>
    </row>
    <row r="7" ht="23.85" customHeight="1" s="20">
      <c r="A7" s="22" t="inlineStr">
        <is>
          <t>Column P on the Assignments tab (yellow). Enter Y where an account is Service Cloud Advanced; that marks it complex regardless of capability count. Example: an account with 5 capabilities and Y in column P counts as complex.</t>
        </is>
      </c>
    </row>
    <row r="8" ht="23.85" customHeight="1" s="20">
      <c r="A8" s="22" t="inlineStr">
        <is>
          <t>Capabilities (column O) are counted from Account Product Categories, excluding Service Cloud, Engagement Cloud, Operations Cloud and anything named Credits. Websites, Portals, &amp; Intranets counts as one. The counted list is in column U.</t>
        </is>
      </c>
    </row>
    <row r="9" ht="15" customHeight="1" s="20">
      <c r="A9" s="22" t="inlineStr">
        <is>
          <t>You can also change any Revised XP (column G). Manager, time-zone fit, cap, AE count and every check recalculate.</t>
        </is>
      </c>
    </row>
    <row r="10" ht="15" customHeight="1" s="20">
      <c r="A10" s="22" t="n"/>
    </row>
    <row r="11" ht="15" customHeight="1" s="20">
      <c r="A11" s="23" t="inlineStr">
        <is>
          <t>Rules applied</t>
        </is>
      </c>
    </row>
    <row r="12" ht="15" customHeight="1" s="20">
      <c r="A12" s="22" t="inlineStr">
        <is>
          <t>Cap: no more than 17 countable accounts per Enterprise XP. Allocated child records do not count and travel with their parent.</t>
        </is>
      </c>
    </row>
    <row r="13" ht="23.85" customHeight="1" s="20">
      <c r="A13" s="22" t="inlineStr">
        <is>
          <t>Holds: San Antonio with Steffany Amador; District of Columbia with Paige Wendle; Denver with a Savannah Lane report; Columbus with an Ashley Hill report. Preferences (9/21): Steffany takes Texas; Colleen keeps Los Angeles and GLACVCD rather than California state agencies.</t>
        </is>
      </c>
    </row>
    <row r="14" ht="23.85" customHeight="1" s="20">
      <c r="A14" s="22" t="inlineStr">
        <is>
          <t>Carolina Prieto keeps her current Enterprise book except Connecticut and Maine, which go to Halena Martin. Her book is excluded from the 17-account cap and time-zone rule. Paige Wendle keeps Washington. The open XP2 headcount is Pacific time.</t>
        </is>
      </c>
    </row>
    <row r="15" ht="15" customHeight="1" s="20">
      <c r="A15" s="22" t="inlineStr">
        <is>
          <t>Capacity: no more than one third of an XP's countable book may be complex (more than 7 capabilities, or Service Cloud Advanced).</t>
        </is>
      </c>
    </row>
    <row r="16" ht="15" customHeight="1" s="20">
      <c r="A16" s="22" t="inlineStr">
        <is>
          <t>Time zone: XP time zone plus or minus one hour. Costa Rica is modeled as Central.</t>
        </is>
      </c>
    </row>
    <row r="17" ht="15" customHeight="1" s="20">
      <c r="A17" s="22" t="n"/>
    </row>
    <row r="18" ht="15" customHeight="1" s="20">
      <c r="A18" s="23" t="inlineStr">
        <is>
          <t>Assumptions and hardcoded values</t>
        </is>
      </c>
    </row>
    <row r="19" ht="15" customHeight="1" s="20">
      <c r="A19" s="22" t="inlineStr">
        <is>
          <t>Carolina Prieto keeps 23 countable accounts; the other 186 fit 11 XPs plus the open XP2 under the cap.</t>
        </is>
      </c>
    </row>
    <row r="20" ht="23.85" customHeight="1" s="20">
      <c r="A20" s="22" t="inlineStr">
        <is>
          <t>Service Cloud Advanced could not be read from the export: Account Products is cut off at 255 characters, and no US Enterprise account shows it in the visible text.</t>
        </is>
      </c>
    </row>
    <row r="21" ht="15" customHeight="1" s="20">
      <c r="A21" s="22" t="inlineStr">
        <is>
          <t>XP managers, levels and locations come from the WIP XP Summary tab (Scenario A). XP and account time zones are set on the Lookups tab.</t>
        </is>
      </c>
    </row>
    <row r="22" ht="23.85" customHeight="1" s="20">
      <c r="A22" s="22" t="inlineStr">
        <is>
          <t>AE assignments are read from the two territory maps. SAM metros override the base territory. Central Florida is modeled as North FL; Oakland as Other CA (Jason Spanier). TX, IA and ME show no State AE on the map.</t>
        </is>
      </c>
    </row>
    <row r="23" ht="23.85" customHeight="1" s="20">
      <c r="A23" s="22" t="inlineStr">
        <is>
          <t>New to Enterprise under this segmentation: 15 former special-entity overrides and 4 state agencies that appear in the 9/21 export but not the WIP. Dallas-area accounts map to the open Dallas SAM seat (6b).</t>
        </is>
      </c>
    </row>
    <row r="25">
      <c r="A25" s="24" t="inlineStr">
        <is>
          <t>Growth tiering (added)</t>
        </is>
      </c>
    </row>
    <row r="26">
      <c r="A26" t="inlineStr"/>
    </row>
    <row r="27">
      <c r="A27" t="inlineStr">
        <is>
          <t>Each account carries a growth tier on Assignments columns X to AE. The tier crosses growth</t>
        </is>
      </c>
    </row>
    <row r="28">
      <c r="A28" t="inlineStr">
        <is>
          <t>potential - 60% the territory score, 40% the capability whitespace left in the account -</t>
        </is>
      </c>
    </row>
    <row r="29">
      <c r="A29" t="inlineStr">
        <is>
          <t>against ARR, splitting both at the median of the 209 countable accounts.</t>
        </is>
      </c>
    </row>
    <row r="30">
      <c r="A30" t="inlineStr"/>
    </row>
    <row r="31">
      <c r="A31" t="inlineStr">
        <is>
          <t xml:space="preserve">  Tier 1 Growth engine   high potential, high ARR   expansion motion</t>
        </is>
      </c>
    </row>
    <row r="32">
      <c r="A32" t="inlineStr">
        <is>
          <t xml:space="preserve">  Tier 2 Expansion       high potential, lower ARR  land and expand</t>
        </is>
      </c>
    </row>
    <row r="33">
      <c r="A33" t="inlineStr">
        <is>
          <t xml:space="preserve">  Tier 3 Defend          lower potential, high ARR  retention and adoption</t>
        </is>
      </c>
    </row>
    <row r="34">
      <c r="A34" t="inlineStr">
        <is>
          <t xml:space="preserve">  Tier 4 Maintain        lower potential, lower ARR efficient or pooled coverage</t>
        </is>
      </c>
    </row>
    <row r="35">
      <c r="A35" t="inlineStr"/>
    </row>
    <row r="36">
      <c r="A36" t="inlineStr">
        <is>
          <t>XP Check columns T to Z roll the tiers up per XP and recompute when the Revised XP</t>
        </is>
      </c>
    </row>
    <row r="37">
      <c r="A37" t="inlineStr">
        <is>
          <t>dropdown changes. Growth load weights the countable book 1.0 / 0.8 / 0.5 / 0.3 by tier.</t>
        </is>
      </c>
    </row>
    <row r="38">
      <c r="A38" t="inlineStr"/>
    </row>
    <row r="39">
      <c r="A39" t="inlineStr">
        <is>
          <t>The Growth Tiers sheet carries all 50 states plus DC, scored separately for the</t>
        </is>
      </c>
    </row>
    <row r="40">
      <c r="A40" t="inlineStr">
        <is>
          <t>state-agency motion and the Local ENT motion. They disagree in 32 of 51 states.</t>
        </is>
      </c>
    </row>
    <row r="41">
      <c r="A41" t="inlineStr"/>
    </row>
    <row r="42">
      <c r="A42" t="inlineStr">
        <is>
          <t>Caveat: 'Held in this book' counts only Enterprise, so whitespace is an upper bound.</t>
        </is>
      </c>
    </row>
    <row r="43">
      <c r="A43" t="inlineStr">
        <is>
          <t>Rebuild with: python3 tiering/build_tiering.py &amp;&amp; python3 tiering/update_workbook.py</t>
        </is>
      </c>
    </row>
    <row r="44">
      <c r="A44" t="inlineStr">
        <is>
          <t>Method, sources and full caveats: research/ENT-book-growth-tiering-hypothesis.md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9" min="1" max="1"/>
    <col width="15" customWidth="1" style="19" min="2" max="2"/>
    <col width="7" customWidth="1" style="19" min="3" max="3"/>
    <col width="10" customWidth="1" style="19" min="4" max="4"/>
    <col width="11" customWidth="1" style="19" min="5" max="5"/>
    <col width="6" customWidth="1" style="19" min="6" max="6"/>
    <col width="12" customWidth="1" style="19" min="7" max="7"/>
    <col width="13" customWidth="1" style="19" min="8" max="10"/>
    <col width="12" customWidth="1" style="19" min="11" max="11"/>
    <col width="11" customWidth="1" style="19" min="12" max="13"/>
    <col width="16" customWidth="1" style="19" min="14" max="14"/>
    <col width="14" customWidth="1" style="19" min="15" max="15"/>
    <col width="40" customWidth="1" style="19" min="17" max="17"/>
    <col width="9" customWidth="1" style="19" min="18" max="18"/>
    <col width="13" customWidth="1" style="20" min="20" max="20"/>
    <col width="15" customWidth="1" style="20" min="21" max="21"/>
    <col width="13" customWidth="1" style="20" min="22" max="22"/>
    <col width="15" customWidth="1" style="20" min="23" max="23"/>
    <col width="13" customWidth="1" style="20" min="24" max="24"/>
    <col width="12" customWidth="1" style="20" min="25" max="25"/>
    <col width="13" customWidth="1" style="20" min="26" max="26"/>
  </cols>
  <sheetData>
    <row r="1" ht="35.05" customHeight="1" s="20">
      <c r="A1" s="25" t="inlineStr">
        <is>
          <t>XP</t>
        </is>
      </c>
      <c r="B1" s="25" t="inlineStr">
        <is>
          <t>Manager</t>
        </is>
      </c>
      <c r="C1" s="25" t="inlineStr">
        <is>
          <t>Level</t>
        </is>
      </c>
      <c r="D1" s="25" t="inlineStr">
        <is>
          <t>XP Time Zone</t>
        </is>
      </c>
      <c r="E1" s="25" t="inlineStr">
        <is>
          <t>Countable Accounts</t>
        </is>
      </c>
      <c r="F1" s="25" t="inlineStr">
        <is>
          <t>Cap</t>
        </is>
      </c>
      <c r="G1" s="25" t="inlineStr">
        <is>
          <t>Cap Status</t>
        </is>
      </c>
      <c r="H1" s="25" t="inlineStr">
        <is>
          <t>ARR</t>
        </is>
      </c>
      <c r="I1" s="25" t="inlineStr">
        <is>
          <t>AEs Worked With (Revised)</t>
        </is>
      </c>
      <c r="J1" s="25" t="inlineStr">
        <is>
          <t>AEs Worked With (WIP)</t>
        </is>
      </c>
      <c r="K1" s="25" t="inlineStr">
        <is>
          <t>Accounts Outside ±1 hr</t>
        </is>
      </c>
      <c r="L1" s="25" t="inlineStr">
        <is>
          <t>Complex Accounts</t>
        </is>
      </c>
      <c r="M1" s="25" t="inlineStr">
        <is>
          <t>Max Complex (1/3)</t>
        </is>
      </c>
      <c r="N1" s="25" t="inlineStr">
        <is>
          <t>Capacity Status</t>
        </is>
      </c>
      <c r="O1" s="25" t="inlineStr">
        <is>
          <t>Accounts Missing Capability Data</t>
        </is>
      </c>
      <c r="Q1" s="26" t="inlineStr">
        <is>
          <t>Account cap</t>
        </is>
      </c>
      <c r="R1" s="27" t="n">
        <v>17</v>
      </c>
      <c r="T1" s="28" t="inlineStr">
        <is>
          <t>Tier 1 Growth</t>
        </is>
      </c>
      <c r="U1" s="28" t="inlineStr">
        <is>
          <t>Tier 2 Expansion</t>
        </is>
      </c>
      <c r="V1" s="28" t="inlineStr">
        <is>
          <t>Tier 3 Defend</t>
        </is>
      </c>
      <c r="W1" s="28" t="inlineStr">
        <is>
          <t>Tier 4 Maintain</t>
        </is>
      </c>
      <c r="X1" s="28" t="inlineStr">
        <is>
          <t>Growth Share</t>
        </is>
      </c>
      <c r="Y1" s="28" t="inlineStr">
        <is>
          <t>Growth Load</t>
        </is>
      </c>
      <c r="Z1" s="28" t="inlineStr">
        <is>
          <t>Defend ARR</t>
        </is>
      </c>
    </row>
    <row r="2" ht="15" customHeight="1" s="20">
      <c r="A2" s="29">
        <f>Lookups!A2</f>
        <v/>
      </c>
      <c r="B2" s="29">
        <f>Lookups!B2</f>
        <v/>
      </c>
      <c r="C2" s="29">
        <f>Lookups!C2</f>
        <v/>
      </c>
      <c r="D2" s="29">
        <f>Lookups!E2</f>
        <v/>
      </c>
      <c r="E2" s="29">
        <f>COUNTIFS(Assignments!$G$2:$G$278,A2,Assignments!$N$2:$N$278,"Yes")</f>
        <v/>
      </c>
      <c r="F2" s="29">
        <f>$R$1</f>
        <v/>
      </c>
      <c r="G2" s="29">
        <f>IF(E2&lt;=F2,"OK","OVER BY "&amp;(E2-F2))</f>
        <v/>
      </c>
      <c r="H2" s="30">
        <f>SUMIFS(Assignments!$M$2:$M$278,Assignments!$G$2:$G$278,A2)</f>
        <v/>
      </c>
      <c r="I2" s="31">
        <f>SUMPRODUCT((Assignments!$G$2:$G$278=A2)/COUNTIFS(Assignments!$G$2:$G$278,Assignments!$G$2:$G$278,Assignments!$E$2:$E$278,Assignments!$E$2:$E$278))</f>
        <v/>
      </c>
      <c r="J2" s="31">
        <f>SUMPRODUCT((Assignments!$F$2:$F$278=A2)/COUNTIFS(Assignments!$F$2:$F$278,Assignments!$F$2:$F$278,Assignments!$E$2:$E$278,Assignments!$E$2:$E$278))</f>
        <v/>
      </c>
      <c r="K2" s="29">
        <f>COUNTIFS(Assignments!$G$2:$G$278,A2,Assignments!$N$2:$N$278,"Yes",Assignments!$L$2:$L$278,"No")</f>
        <v/>
      </c>
      <c r="L2" s="29">
        <f>COUNTIFS(Assignments!$G$2:$G$278,A2,Assignments!$Q$2:$Q$278,"Yes")</f>
        <v/>
      </c>
      <c r="M2" s="29">
        <f>ROUNDDOWN(E2*$R$2,0)</f>
        <v/>
      </c>
      <c r="N2" s="29">
        <f>IF(L2&gt;M2,"OVER BY "&amp;(L2-M2),IF(O2&gt;0,"Pending data","OK"))</f>
        <v/>
      </c>
      <c r="O2" s="29">
        <f>COUNTIFS(Assignments!$G$2:$G$278,A2,Assignments!$Q$2:$Q$278,"Pending")</f>
        <v/>
      </c>
      <c r="Q2" s="26" t="inlineStr">
        <is>
          <t>Complex share limit</t>
        </is>
      </c>
      <c r="R2" s="32" t="n">
        <v>0.333333333333333</v>
      </c>
      <c r="T2" s="19">
        <f>COUNTIFS(Assignments!$G$2:$G$278,$A2,Assignments!$N$2:$N$278,"Yes",Assignments!$AB$2:$AB$278,1)</f>
        <v/>
      </c>
      <c r="U2" s="19">
        <f>COUNTIFS(Assignments!$G$2:$G$278,$A2,Assignments!$N$2:$N$278,"Yes",Assignments!$AB$2:$AB$278,2)</f>
        <v/>
      </c>
      <c r="V2" s="19">
        <f>COUNTIFS(Assignments!$G$2:$G$278,$A2,Assignments!$N$2:$N$278,"Yes",Assignments!$AB$2:$AB$278,3)</f>
        <v/>
      </c>
      <c r="W2" s="19">
        <f>COUNTIFS(Assignments!$G$2:$G$278,$A2,Assignments!$N$2:$N$278,"Yes",Assignments!$AB$2:$AB$278,4)</f>
        <v/>
      </c>
      <c r="X2" s="33">
        <f>IFERROR((T2+U2)/COUNTIFS(Assignments!$G$2:$G$278,$A2,Assignments!$N$2:$N$278,"Yes"),"")</f>
        <v/>
      </c>
      <c r="Y2" s="34">
        <f>SUMPRODUCT((Assignments!$G$2:$G$278=$A2)*(Assignments!$N$2:$N$278="Yes")*Assignments!$AD$2:$AD$278)</f>
        <v/>
      </c>
      <c r="Z2" s="50">
        <f>SUMIFS(Assignments!$M$2:$M$278,Assignments!$G$2:$G$278,$A2,Assignments!$N$2:$N$278,"Yes",Assignments!$AB$2:$AB$278,3)</f>
        <v/>
      </c>
    </row>
    <row r="3" ht="15" customHeight="1" s="20">
      <c r="A3" s="29">
        <f>Lookups!A3</f>
        <v/>
      </c>
      <c r="B3" s="29">
        <f>Lookups!B3</f>
        <v/>
      </c>
      <c r="C3" s="29">
        <f>Lookups!C3</f>
        <v/>
      </c>
      <c r="D3" s="29">
        <f>Lookups!E3</f>
        <v/>
      </c>
      <c r="E3" s="29">
        <f>COUNTIFS(Assignments!$G$2:$G$278,A3,Assignments!$N$2:$N$278,"Yes")</f>
        <v/>
      </c>
      <c r="F3" s="29">
        <f>$R$1</f>
        <v/>
      </c>
      <c r="G3" s="29">
        <f>IF(E3&lt;=F3,"OK","OVER BY "&amp;(E3-F3))</f>
        <v/>
      </c>
      <c r="H3" s="30">
        <f>SUMIFS(Assignments!$M$2:$M$278,Assignments!$G$2:$G$278,A3)</f>
        <v/>
      </c>
      <c r="I3" s="31">
        <f>SUMPRODUCT((Assignments!$G$2:$G$278=A3)/COUNTIFS(Assignments!$G$2:$G$278,Assignments!$G$2:$G$278,Assignments!$E$2:$E$278,Assignments!$E$2:$E$278))</f>
        <v/>
      </c>
      <c r="J3" s="31">
        <f>SUMPRODUCT((Assignments!$F$2:$F$278=A3)/COUNTIFS(Assignments!$F$2:$F$278,Assignments!$F$2:$F$278,Assignments!$E$2:$E$278,Assignments!$E$2:$E$278))</f>
        <v/>
      </c>
      <c r="K3" s="29">
        <f>COUNTIFS(Assignments!$G$2:$G$278,A3,Assignments!$N$2:$N$278,"Yes",Assignments!$L$2:$L$278,"No")</f>
        <v/>
      </c>
      <c r="L3" s="29">
        <f>COUNTIFS(Assignments!$G$2:$G$278,A3,Assignments!$Q$2:$Q$278,"Yes")</f>
        <v/>
      </c>
      <c r="M3" s="29">
        <f>ROUNDDOWN(E3*$R$2,0)</f>
        <v/>
      </c>
      <c r="N3" s="29">
        <f>IF(L3&gt;M3,"OVER BY "&amp;(L3-M3),IF(O3&gt;0,"Pending data","OK"))</f>
        <v/>
      </c>
      <c r="O3" s="29">
        <f>COUNTIFS(Assignments!$G$2:$G$278,A3,Assignments!$Q$2:$Q$278,"Pending")</f>
        <v/>
      </c>
      <c r="Q3" s="26" t="inlineStr">
        <is>
          <t>Complex threshold (capabilities greater than)</t>
        </is>
      </c>
      <c r="R3" s="19">
        <f>Assignments!$W$1</f>
        <v/>
      </c>
      <c r="T3" s="19">
        <f>COUNTIFS(Assignments!$G$2:$G$278,$A3,Assignments!$N$2:$N$278,"Yes",Assignments!$AB$2:$AB$278,1)</f>
        <v/>
      </c>
      <c r="U3" s="19">
        <f>COUNTIFS(Assignments!$G$2:$G$278,$A3,Assignments!$N$2:$N$278,"Yes",Assignments!$AB$2:$AB$278,2)</f>
        <v/>
      </c>
      <c r="V3" s="19">
        <f>COUNTIFS(Assignments!$G$2:$G$278,$A3,Assignments!$N$2:$N$278,"Yes",Assignments!$AB$2:$AB$278,3)</f>
        <v/>
      </c>
      <c r="W3" s="19">
        <f>COUNTIFS(Assignments!$G$2:$G$278,$A3,Assignments!$N$2:$N$278,"Yes",Assignments!$AB$2:$AB$278,4)</f>
        <v/>
      </c>
      <c r="X3" s="33">
        <f>IFERROR((T3+U3)/COUNTIFS(Assignments!$G$2:$G$278,$A3,Assignments!$N$2:$N$278,"Yes"),"")</f>
        <v/>
      </c>
      <c r="Y3" s="34">
        <f>SUMPRODUCT((Assignments!$G$2:$G$278=$A3)*(Assignments!$N$2:$N$278="Yes")*Assignments!$AD$2:$AD$278)</f>
        <v/>
      </c>
      <c r="Z3" s="50">
        <f>SUMIFS(Assignments!$M$2:$M$278,Assignments!$G$2:$G$278,$A3,Assignments!$N$2:$N$278,"Yes",Assignments!$AB$2:$AB$278,3)</f>
        <v/>
      </c>
    </row>
    <row r="4" ht="15" customHeight="1" s="20">
      <c r="A4" s="29">
        <f>Lookups!A4</f>
        <v/>
      </c>
      <c r="B4" s="29">
        <f>Lookups!B4</f>
        <v/>
      </c>
      <c r="C4" s="29">
        <f>Lookups!C4</f>
        <v/>
      </c>
      <c r="D4" s="29">
        <f>Lookups!E4</f>
        <v/>
      </c>
      <c r="E4" s="29">
        <f>COUNTIFS(Assignments!$G$2:$G$278,A4,Assignments!$N$2:$N$278,"Yes")</f>
        <v/>
      </c>
      <c r="F4" s="29">
        <f>$R$1</f>
        <v/>
      </c>
      <c r="G4" s="29">
        <f>IF(E4&lt;=F4,"OK","OVER BY "&amp;(E4-F4))</f>
        <v/>
      </c>
      <c r="H4" s="30">
        <f>SUMIFS(Assignments!$M$2:$M$278,Assignments!$G$2:$G$278,A4)</f>
        <v/>
      </c>
      <c r="I4" s="31">
        <f>SUMPRODUCT((Assignments!$G$2:$G$278=A4)/COUNTIFS(Assignments!$G$2:$G$278,Assignments!$G$2:$G$278,Assignments!$E$2:$E$278,Assignments!$E$2:$E$278))</f>
        <v/>
      </c>
      <c r="J4" s="31">
        <f>SUMPRODUCT((Assignments!$F$2:$F$278=A4)/COUNTIFS(Assignments!$F$2:$F$278,Assignments!$F$2:$F$278,Assignments!$E$2:$E$278,Assignments!$E$2:$E$278))</f>
        <v/>
      </c>
      <c r="K4" s="29">
        <f>COUNTIFS(Assignments!$G$2:$G$278,A4,Assignments!$N$2:$N$278,"Yes",Assignments!$L$2:$L$278,"No")</f>
        <v/>
      </c>
      <c r="L4" s="29">
        <f>COUNTIFS(Assignments!$G$2:$G$278,A4,Assignments!$Q$2:$Q$278,"Yes")</f>
        <v/>
      </c>
      <c r="M4" s="29">
        <f>ROUNDDOWN(E4*$R$2,0)</f>
        <v/>
      </c>
      <c r="N4" s="29">
        <f>IF(L4&gt;M4,"OVER BY "&amp;(L4-M4),IF(O4&gt;0,"Pending data","OK"))</f>
        <v/>
      </c>
      <c r="O4" s="29">
        <f>COUNTIFS(Assignments!$G$2:$G$278,A4,Assignments!$Q$2:$Q$278,"Pending")</f>
        <v/>
      </c>
      <c r="Q4" s="36" t="inlineStr">
        <is>
          <t>Cap, share limit and threshold are user-provided (9/21 instruction). Edit the threshold on Assignments cell W1.</t>
        </is>
      </c>
      <c r="T4" s="19">
        <f>COUNTIFS(Assignments!$G$2:$G$278,$A4,Assignments!$N$2:$N$278,"Yes",Assignments!$AB$2:$AB$278,1)</f>
        <v/>
      </c>
      <c r="U4" s="19">
        <f>COUNTIFS(Assignments!$G$2:$G$278,$A4,Assignments!$N$2:$N$278,"Yes",Assignments!$AB$2:$AB$278,2)</f>
        <v/>
      </c>
      <c r="V4" s="19">
        <f>COUNTIFS(Assignments!$G$2:$G$278,$A4,Assignments!$N$2:$N$278,"Yes",Assignments!$AB$2:$AB$278,3)</f>
        <v/>
      </c>
      <c r="W4" s="19">
        <f>COUNTIFS(Assignments!$G$2:$G$278,$A4,Assignments!$N$2:$N$278,"Yes",Assignments!$AB$2:$AB$278,4)</f>
        <v/>
      </c>
      <c r="X4" s="33">
        <f>IFERROR((T4+U4)/COUNTIFS(Assignments!$G$2:$G$278,$A4,Assignments!$N$2:$N$278,"Yes"),"")</f>
        <v/>
      </c>
      <c r="Y4" s="34">
        <f>SUMPRODUCT((Assignments!$G$2:$G$278=$A4)*(Assignments!$N$2:$N$278="Yes")*Assignments!$AD$2:$AD$278)</f>
        <v/>
      </c>
      <c r="Z4" s="50">
        <f>SUMIFS(Assignments!$M$2:$M$278,Assignments!$G$2:$G$278,$A4,Assignments!$N$2:$N$278,"Yes",Assignments!$AB$2:$AB$278,3)</f>
        <v/>
      </c>
    </row>
    <row r="5" ht="15" customHeight="1" s="20">
      <c r="A5" s="29">
        <f>Lookups!A5</f>
        <v/>
      </c>
      <c r="B5" s="29">
        <f>Lookups!B5</f>
        <v/>
      </c>
      <c r="C5" s="29">
        <f>Lookups!C5</f>
        <v/>
      </c>
      <c r="D5" s="29">
        <f>Lookups!E5</f>
        <v/>
      </c>
      <c r="E5" s="29">
        <f>COUNTIFS(Assignments!$G$2:$G$278,A5,Assignments!$N$2:$N$278,"Yes")</f>
        <v/>
      </c>
      <c r="F5" s="29">
        <f>$R$1</f>
        <v/>
      </c>
      <c r="G5" s="29">
        <f>IF(E5&lt;=F5,"OK","OVER BY "&amp;(E5-F5))</f>
        <v/>
      </c>
      <c r="H5" s="30">
        <f>SUMIFS(Assignments!$M$2:$M$278,Assignments!$G$2:$G$278,A5)</f>
        <v/>
      </c>
      <c r="I5" s="31">
        <f>SUMPRODUCT((Assignments!$G$2:$G$278=A5)/COUNTIFS(Assignments!$G$2:$G$278,Assignments!$G$2:$G$278,Assignments!$E$2:$E$278,Assignments!$E$2:$E$278))</f>
        <v/>
      </c>
      <c r="J5" s="31">
        <f>SUMPRODUCT((Assignments!$F$2:$F$278=A5)/COUNTIFS(Assignments!$F$2:$F$278,Assignments!$F$2:$F$278,Assignments!$E$2:$E$278,Assignments!$E$2:$E$278))</f>
        <v/>
      </c>
      <c r="K5" s="29">
        <f>COUNTIFS(Assignments!$G$2:$G$278,A5,Assignments!$N$2:$N$278,"Yes",Assignments!$L$2:$L$278,"No")</f>
        <v/>
      </c>
      <c r="L5" s="29">
        <f>COUNTIFS(Assignments!$G$2:$G$278,A5,Assignments!$Q$2:$Q$278,"Yes")</f>
        <v/>
      </c>
      <c r="M5" s="29">
        <f>ROUNDDOWN(E5*$R$2,0)</f>
        <v/>
      </c>
      <c r="N5" s="29">
        <f>IF(L5&gt;M5,"OVER BY "&amp;(L5-M5),IF(O5&gt;0,"Pending data","OK"))</f>
        <v/>
      </c>
      <c r="O5" s="29">
        <f>COUNTIFS(Assignments!$G$2:$G$278,A5,Assignments!$Q$2:$Q$278,"Pending")</f>
        <v/>
      </c>
      <c r="T5" s="19">
        <f>COUNTIFS(Assignments!$G$2:$G$278,$A5,Assignments!$N$2:$N$278,"Yes",Assignments!$AB$2:$AB$278,1)</f>
        <v/>
      </c>
      <c r="U5" s="19">
        <f>COUNTIFS(Assignments!$G$2:$G$278,$A5,Assignments!$N$2:$N$278,"Yes",Assignments!$AB$2:$AB$278,2)</f>
        <v/>
      </c>
      <c r="V5" s="19">
        <f>COUNTIFS(Assignments!$G$2:$G$278,$A5,Assignments!$N$2:$N$278,"Yes",Assignments!$AB$2:$AB$278,3)</f>
        <v/>
      </c>
      <c r="W5" s="19">
        <f>COUNTIFS(Assignments!$G$2:$G$278,$A5,Assignments!$N$2:$N$278,"Yes",Assignments!$AB$2:$AB$278,4)</f>
        <v/>
      </c>
      <c r="X5" s="33">
        <f>IFERROR((T5+U5)/COUNTIFS(Assignments!$G$2:$G$278,$A5,Assignments!$N$2:$N$278,"Yes"),"")</f>
        <v/>
      </c>
      <c r="Y5" s="34">
        <f>SUMPRODUCT((Assignments!$G$2:$G$278=$A5)*(Assignments!$N$2:$N$278="Yes")*Assignments!$AD$2:$AD$278)</f>
        <v/>
      </c>
      <c r="Z5" s="50">
        <f>SUMIFS(Assignments!$M$2:$M$278,Assignments!$G$2:$G$278,$A5,Assignments!$N$2:$N$278,"Yes",Assignments!$AB$2:$AB$278,3)</f>
        <v/>
      </c>
    </row>
    <row r="6" ht="15" customHeight="1" s="20">
      <c r="A6" s="29">
        <f>Lookups!A6</f>
        <v/>
      </c>
      <c r="B6" s="29">
        <f>Lookups!B6</f>
        <v/>
      </c>
      <c r="C6" s="29">
        <f>Lookups!C6</f>
        <v/>
      </c>
      <c r="D6" s="29">
        <f>Lookups!E6</f>
        <v/>
      </c>
      <c r="E6" s="29">
        <f>COUNTIFS(Assignments!$G$2:$G$278,A6,Assignments!$N$2:$N$278,"Yes")</f>
        <v/>
      </c>
      <c r="F6" s="29">
        <f>$R$1</f>
        <v/>
      </c>
      <c r="G6" s="29">
        <f>IF(E6&lt;=F6,"OK","OVER BY "&amp;(E6-F6))</f>
        <v/>
      </c>
      <c r="H6" s="30">
        <f>SUMIFS(Assignments!$M$2:$M$278,Assignments!$G$2:$G$278,A6)</f>
        <v/>
      </c>
      <c r="I6" s="31">
        <f>SUMPRODUCT((Assignments!$G$2:$G$278=A6)/COUNTIFS(Assignments!$G$2:$G$278,Assignments!$G$2:$G$278,Assignments!$E$2:$E$278,Assignments!$E$2:$E$278))</f>
        <v/>
      </c>
      <c r="J6" s="31">
        <f>SUMPRODUCT((Assignments!$F$2:$F$278=A6)/COUNTIFS(Assignments!$F$2:$F$278,Assignments!$F$2:$F$278,Assignments!$E$2:$E$278,Assignments!$E$2:$E$278))</f>
        <v/>
      </c>
      <c r="K6" s="29">
        <f>COUNTIFS(Assignments!$G$2:$G$278,A6,Assignments!$N$2:$N$278,"Yes",Assignments!$L$2:$L$278,"No")</f>
        <v/>
      </c>
      <c r="L6" s="29">
        <f>COUNTIFS(Assignments!$G$2:$G$278,A6,Assignments!$Q$2:$Q$278,"Yes")</f>
        <v/>
      </c>
      <c r="M6" s="29">
        <f>ROUNDDOWN(E6*$R$2,0)</f>
        <v/>
      </c>
      <c r="N6" s="29">
        <f>IF(L6&gt;M6,"OVER BY "&amp;(L6-M6),IF(O6&gt;0,"Pending data","OK"))</f>
        <v/>
      </c>
      <c r="O6" s="29">
        <f>COUNTIFS(Assignments!$G$2:$G$278,A6,Assignments!$Q$2:$Q$278,"Pending")</f>
        <v/>
      </c>
      <c r="T6" s="19">
        <f>COUNTIFS(Assignments!$G$2:$G$278,$A6,Assignments!$N$2:$N$278,"Yes",Assignments!$AB$2:$AB$278,1)</f>
        <v/>
      </c>
      <c r="U6" s="19">
        <f>COUNTIFS(Assignments!$G$2:$G$278,$A6,Assignments!$N$2:$N$278,"Yes",Assignments!$AB$2:$AB$278,2)</f>
        <v/>
      </c>
      <c r="V6" s="19">
        <f>COUNTIFS(Assignments!$G$2:$G$278,$A6,Assignments!$N$2:$N$278,"Yes",Assignments!$AB$2:$AB$278,3)</f>
        <v/>
      </c>
      <c r="W6" s="19">
        <f>COUNTIFS(Assignments!$G$2:$G$278,$A6,Assignments!$N$2:$N$278,"Yes",Assignments!$AB$2:$AB$278,4)</f>
        <v/>
      </c>
      <c r="X6" s="33">
        <f>IFERROR((T6+U6)/COUNTIFS(Assignments!$G$2:$G$278,$A6,Assignments!$N$2:$N$278,"Yes"),"")</f>
        <v/>
      </c>
      <c r="Y6" s="34">
        <f>SUMPRODUCT((Assignments!$G$2:$G$278=$A6)*(Assignments!$N$2:$N$278="Yes")*Assignments!$AD$2:$AD$278)</f>
        <v/>
      </c>
      <c r="Z6" s="50">
        <f>SUMIFS(Assignments!$M$2:$M$278,Assignments!$G$2:$G$278,$A6,Assignments!$N$2:$N$278,"Yes",Assignments!$AB$2:$AB$278,3)</f>
        <v/>
      </c>
    </row>
    <row r="7" ht="15" customHeight="1" s="20">
      <c r="A7" s="29">
        <f>Lookups!A7</f>
        <v/>
      </c>
      <c r="B7" s="29">
        <f>Lookups!B7</f>
        <v/>
      </c>
      <c r="C7" s="29">
        <f>Lookups!C7</f>
        <v/>
      </c>
      <c r="D7" s="29">
        <f>Lookups!E7</f>
        <v/>
      </c>
      <c r="E7" s="29">
        <f>COUNTIFS(Assignments!$G$2:$G$278,A7,Assignments!$N$2:$N$278,"Yes")</f>
        <v/>
      </c>
      <c r="F7" s="29">
        <f>$R$1</f>
        <v/>
      </c>
      <c r="G7" s="29">
        <f>IF(E7&lt;=F7,"OK","OVER BY "&amp;(E7-F7))</f>
        <v/>
      </c>
      <c r="H7" s="30">
        <f>SUMIFS(Assignments!$M$2:$M$278,Assignments!$G$2:$G$278,A7)</f>
        <v/>
      </c>
      <c r="I7" s="31">
        <f>SUMPRODUCT((Assignments!$G$2:$G$278=A7)/COUNTIFS(Assignments!$G$2:$G$278,Assignments!$G$2:$G$278,Assignments!$E$2:$E$278,Assignments!$E$2:$E$278))</f>
        <v/>
      </c>
      <c r="J7" s="31">
        <f>SUMPRODUCT((Assignments!$F$2:$F$278=A7)/COUNTIFS(Assignments!$F$2:$F$278,Assignments!$F$2:$F$278,Assignments!$E$2:$E$278,Assignments!$E$2:$E$278))</f>
        <v/>
      </c>
      <c r="K7" s="29">
        <f>COUNTIFS(Assignments!$G$2:$G$278,A7,Assignments!$N$2:$N$278,"Yes",Assignments!$L$2:$L$278,"No")</f>
        <v/>
      </c>
      <c r="L7" s="29">
        <f>COUNTIFS(Assignments!$G$2:$G$278,A7,Assignments!$Q$2:$Q$278,"Yes")</f>
        <v/>
      </c>
      <c r="M7" s="29">
        <f>ROUNDDOWN(E7*$R$2,0)</f>
        <v/>
      </c>
      <c r="N7" s="29">
        <f>IF(L7&gt;M7,"OVER BY "&amp;(L7-M7),IF(O7&gt;0,"Pending data","OK"))</f>
        <v/>
      </c>
      <c r="O7" s="29">
        <f>COUNTIFS(Assignments!$G$2:$G$278,A7,Assignments!$Q$2:$Q$278,"Pending")</f>
        <v/>
      </c>
      <c r="T7" s="19">
        <f>COUNTIFS(Assignments!$G$2:$G$278,$A7,Assignments!$N$2:$N$278,"Yes",Assignments!$AB$2:$AB$278,1)</f>
        <v/>
      </c>
      <c r="U7" s="19">
        <f>COUNTIFS(Assignments!$G$2:$G$278,$A7,Assignments!$N$2:$N$278,"Yes",Assignments!$AB$2:$AB$278,2)</f>
        <v/>
      </c>
      <c r="V7" s="19">
        <f>COUNTIFS(Assignments!$G$2:$G$278,$A7,Assignments!$N$2:$N$278,"Yes",Assignments!$AB$2:$AB$278,3)</f>
        <v/>
      </c>
      <c r="W7" s="19">
        <f>COUNTIFS(Assignments!$G$2:$G$278,$A7,Assignments!$N$2:$N$278,"Yes",Assignments!$AB$2:$AB$278,4)</f>
        <v/>
      </c>
      <c r="X7" s="33">
        <f>IFERROR((T7+U7)/COUNTIFS(Assignments!$G$2:$G$278,$A7,Assignments!$N$2:$N$278,"Yes"),"")</f>
        <v/>
      </c>
      <c r="Y7" s="34">
        <f>SUMPRODUCT((Assignments!$G$2:$G$278=$A7)*(Assignments!$N$2:$N$278="Yes")*Assignments!$AD$2:$AD$278)</f>
        <v/>
      </c>
      <c r="Z7" s="50">
        <f>SUMIFS(Assignments!$M$2:$M$278,Assignments!$G$2:$G$278,$A7,Assignments!$N$2:$N$278,"Yes",Assignments!$AB$2:$AB$278,3)</f>
        <v/>
      </c>
    </row>
    <row r="8" ht="15" customHeight="1" s="20">
      <c r="A8" s="29">
        <f>Lookups!A8</f>
        <v/>
      </c>
      <c r="B8" s="29">
        <f>Lookups!B8</f>
        <v/>
      </c>
      <c r="C8" s="29">
        <f>Lookups!C8</f>
        <v/>
      </c>
      <c r="D8" s="29">
        <f>Lookups!E8</f>
        <v/>
      </c>
      <c r="E8" s="29">
        <f>COUNTIFS(Assignments!$G$2:$G$278,A8,Assignments!$N$2:$N$278,"Yes")</f>
        <v/>
      </c>
      <c r="F8" s="29">
        <f>$R$1</f>
        <v/>
      </c>
      <c r="G8" s="29">
        <f>IF(E8&lt;=F8,"OK","OVER BY "&amp;(E8-F8))</f>
        <v/>
      </c>
      <c r="H8" s="30">
        <f>SUMIFS(Assignments!$M$2:$M$278,Assignments!$G$2:$G$278,A8)</f>
        <v/>
      </c>
      <c r="I8" s="31">
        <f>SUMPRODUCT((Assignments!$G$2:$G$278=A8)/COUNTIFS(Assignments!$G$2:$G$278,Assignments!$G$2:$G$278,Assignments!$E$2:$E$278,Assignments!$E$2:$E$278))</f>
        <v/>
      </c>
      <c r="J8" s="31">
        <f>SUMPRODUCT((Assignments!$F$2:$F$278=A8)/COUNTIFS(Assignments!$F$2:$F$278,Assignments!$F$2:$F$278,Assignments!$E$2:$E$278,Assignments!$E$2:$E$278))</f>
        <v/>
      </c>
      <c r="K8" s="29">
        <f>COUNTIFS(Assignments!$G$2:$G$278,A8,Assignments!$N$2:$N$278,"Yes",Assignments!$L$2:$L$278,"No")</f>
        <v/>
      </c>
      <c r="L8" s="29">
        <f>COUNTIFS(Assignments!$G$2:$G$278,A8,Assignments!$Q$2:$Q$278,"Yes")</f>
        <v/>
      </c>
      <c r="M8" s="29">
        <f>ROUNDDOWN(E8*$R$2,0)</f>
        <v/>
      </c>
      <c r="N8" s="29">
        <f>IF(L8&gt;M8,"OVER BY "&amp;(L8-M8),IF(O8&gt;0,"Pending data","OK"))</f>
        <v/>
      </c>
      <c r="O8" s="29">
        <f>COUNTIFS(Assignments!$G$2:$G$278,A8,Assignments!$Q$2:$Q$278,"Pending")</f>
        <v/>
      </c>
      <c r="T8" s="19">
        <f>COUNTIFS(Assignments!$G$2:$G$278,$A8,Assignments!$N$2:$N$278,"Yes",Assignments!$AB$2:$AB$278,1)</f>
        <v/>
      </c>
      <c r="U8" s="19">
        <f>COUNTIFS(Assignments!$G$2:$G$278,$A8,Assignments!$N$2:$N$278,"Yes",Assignments!$AB$2:$AB$278,2)</f>
        <v/>
      </c>
      <c r="V8" s="19">
        <f>COUNTIFS(Assignments!$G$2:$G$278,$A8,Assignments!$N$2:$N$278,"Yes",Assignments!$AB$2:$AB$278,3)</f>
        <v/>
      </c>
      <c r="W8" s="19">
        <f>COUNTIFS(Assignments!$G$2:$G$278,$A8,Assignments!$N$2:$N$278,"Yes",Assignments!$AB$2:$AB$278,4)</f>
        <v/>
      </c>
      <c r="X8" s="33">
        <f>IFERROR((T8+U8)/COUNTIFS(Assignments!$G$2:$G$278,$A8,Assignments!$N$2:$N$278,"Yes"),"")</f>
        <v/>
      </c>
      <c r="Y8" s="34">
        <f>SUMPRODUCT((Assignments!$G$2:$G$278=$A8)*(Assignments!$N$2:$N$278="Yes")*Assignments!$AD$2:$AD$278)</f>
        <v/>
      </c>
      <c r="Z8" s="50">
        <f>SUMIFS(Assignments!$M$2:$M$278,Assignments!$G$2:$G$278,$A8,Assignments!$N$2:$N$278,"Yes",Assignments!$AB$2:$AB$278,3)</f>
        <v/>
      </c>
    </row>
    <row r="9" ht="15" customHeight="1" s="20">
      <c r="A9" s="29">
        <f>Lookups!A9</f>
        <v/>
      </c>
      <c r="B9" s="29">
        <f>Lookups!B9</f>
        <v/>
      </c>
      <c r="C9" s="29">
        <f>Lookups!C9</f>
        <v/>
      </c>
      <c r="D9" s="29">
        <f>Lookups!E9</f>
        <v/>
      </c>
      <c r="E9" s="29">
        <f>COUNTIFS(Assignments!$G$2:$G$278,A9,Assignments!$N$2:$N$278,"Yes")</f>
        <v/>
      </c>
      <c r="F9" s="29">
        <f>$R$1</f>
        <v/>
      </c>
      <c r="G9" s="29">
        <f>IF(E9&lt;=F9,"OK","OVER BY "&amp;(E9-F9))</f>
        <v/>
      </c>
      <c r="H9" s="30">
        <f>SUMIFS(Assignments!$M$2:$M$278,Assignments!$G$2:$G$278,A9)</f>
        <v/>
      </c>
      <c r="I9" s="31">
        <f>SUMPRODUCT((Assignments!$G$2:$G$278=A9)/COUNTIFS(Assignments!$G$2:$G$278,Assignments!$G$2:$G$278,Assignments!$E$2:$E$278,Assignments!$E$2:$E$278))</f>
        <v/>
      </c>
      <c r="J9" s="31">
        <f>SUMPRODUCT((Assignments!$F$2:$F$278=A9)/COUNTIFS(Assignments!$F$2:$F$278,Assignments!$F$2:$F$278,Assignments!$E$2:$E$278,Assignments!$E$2:$E$278))</f>
        <v/>
      </c>
      <c r="K9" s="29">
        <f>COUNTIFS(Assignments!$G$2:$G$278,A9,Assignments!$N$2:$N$278,"Yes",Assignments!$L$2:$L$278,"No")</f>
        <v/>
      </c>
      <c r="L9" s="29">
        <f>COUNTIFS(Assignments!$G$2:$G$278,A9,Assignments!$Q$2:$Q$278,"Yes")</f>
        <v/>
      </c>
      <c r="M9" s="29">
        <f>ROUNDDOWN(E9*$R$2,0)</f>
        <v/>
      </c>
      <c r="N9" s="29">
        <f>IF(L9&gt;M9,"OVER BY "&amp;(L9-M9),IF(O9&gt;0,"Pending data","OK"))</f>
        <v/>
      </c>
      <c r="O9" s="29">
        <f>COUNTIFS(Assignments!$G$2:$G$278,A9,Assignments!$Q$2:$Q$278,"Pending")</f>
        <v/>
      </c>
      <c r="T9" s="19">
        <f>COUNTIFS(Assignments!$G$2:$G$278,$A9,Assignments!$N$2:$N$278,"Yes",Assignments!$AB$2:$AB$278,1)</f>
        <v/>
      </c>
      <c r="U9" s="19">
        <f>COUNTIFS(Assignments!$G$2:$G$278,$A9,Assignments!$N$2:$N$278,"Yes",Assignments!$AB$2:$AB$278,2)</f>
        <v/>
      </c>
      <c r="V9" s="19">
        <f>COUNTIFS(Assignments!$G$2:$G$278,$A9,Assignments!$N$2:$N$278,"Yes",Assignments!$AB$2:$AB$278,3)</f>
        <v/>
      </c>
      <c r="W9" s="19">
        <f>COUNTIFS(Assignments!$G$2:$G$278,$A9,Assignments!$N$2:$N$278,"Yes",Assignments!$AB$2:$AB$278,4)</f>
        <v/>
      </c>
      <c r="X9" s="33">
        <f>IFERROR((T9+U9)/COUNTIFS(Assignments!$G$2:$G$278,$A9,Assignments!$N$2:$N$278,"Yes"),"")</f>
        <v/>
      </c>
      <c r="Y9" s="34">
        <f>SUMPRODUCT((Assignments!$G$2:$G$278=$A9)*(Assignments!$N$2:$N$278="Yes")*Assignments!$AD$2:$AD$278)</f>
        <v/>
      </c>
      <c r="Z9" s="50">
        <f>SUMIFS(Assignments!$M$2:$M$278,Assignments!$G$2:$G$278,$A9,Assignments!$N$2:$N$278,"Yes",Assignments!$AB$2:$AB$278,3)</f>
        <v/>
      </c>
    </row>
    <row r="10" ht="15" customHeight="1" s="20">
      <c r="A10" s="29">
        <f>Lookups!A10</f>
        <v/>
      </c>
      <c r="B10" s="29">
        <f>Lookups!B10</f>
        <v/>
      </c>
      <c r="C10" s="29">
        <f>Lookups!C10</f>
        <v/>
      </c>
      <c r="D10" s="29">
        <f>Lookups!E10</f>
        <v/>
      </c>
      <c r="E10" s="29">
        <f>COUNTIFS(Assignments!$G$2:$G$278,A10,Assignments!$N$2:$N$278,"Yes")</f>
        <v/>
      </c>
      <c r="F10" s="29">
        <f>$R$1</f>
        <v/>
      </c>
      <c r="G10" s="29">
        <f>IF(E10&lt;=F10,"OK","OVER BY "&amp;(E10-F10))</f>
        <v/>
      </c>
      <c r="H10" s="30">
        <f>SUMIFS(Assignments!$M$2:$M$278,Assignments!$G$2:$G$278,A10)</f>
        <v/>
      </c>
      <c r="I10" s="31">
        <f>SUMPRODUCT((Assignments!$G$2:$G$278=A10)/COUNTIFS(Assignments!$G$2:$G$278,Assignments!$G$2:$G$278,Assignments!$E$2:$E$278,Assignments!$E$2:$E$278))</f>
        <v/>
      </c>
      <c r="J10" s="31">
        <f>SUMPRODUCT((Assignments!$F$2:$F$278=A10)/COUNTIFS(Assignments!$F$2:$F$278,Assignments!$F$2:$F$278,Assignments!$E$2:$E$278,Assignments!$E$2:$E$278))</f>
        <v/>
      </c>
      <c r="K10" s="29">
        <f>COUNTIFS(Assignments!$G$2:$G$278,A10,Assignments!$N$2:$N$278,"Yes",Assignments!$L$2:$L$278,"No")</f>
        <v/>
      </c>
      <c r="L10" s="29">
        <f>COUNTIFS(Assignments!$G$2:$G$278,A10,Assignments!$Q$2:$Q$278,"Yes")</f>
        <v/>
      </c>
      <c r="M10" s="29">
        <f>ROUNDDOWN(E10*$R$2,0)</f>
        <v/>
      </c>
      <c r="N10" s="29">
        <f>IF(L10&gt;M10,"OVER BY "&amp;(L10-M10),IF(O10&gt;0,"Pending data","OK"))</f>
        <v/>
      </c>
      <c r="O10" s="29">
        <f>COUNTIFS(Assignments!$G$2:$G$278,A10,Assignments!$Q$2:$Q$278,"Pending")</f>
        <v/>
      </c>
      <c r="T10" s="19">
        <f>COUNTIFS(Assignments!$G$2:$G$278,$A10,Assignments!$N$2:$N$278,"Yes",Assignments!$AB$2:$AB$278,1)</f>
        <v/>
      </c>
      <c r="U10" s="19">
        <f>COUNTIFS(Assignments!$G$2:$G$278,$A10,Assignments!$N$2:$N$278,"Yes",Assignments!$AB$2:$AB$278,2)</f>
        <v/>
      </c>
      <c r="V10" s="19">
        <f>COUNTIFS(Assignments!$G$2:$G$278,$A10,Assignments!$N$2:$N$278,"Yes",Assignments!$AB$2:$AB$278,3)</f>
        <v/>
      </c>
      <c r="W10" s="19">
        <f>COUNTIFS(Assignments!$G$2:$G$278,$A10,Assignments!$N$2:$N$278,"Yes",Assignments!$AB$2:$AB$278,4)</f>
        <v/>
      </c>
      <c r="X10" s="33">
        <f>IFERROR((T10+U10)/COUNTIFS(Assignments!$G$2:$G$278,$A10,Assignments!$N$2:$N$278,"Yes"),"")</f>
        <v/>
      </c>
      <c r="Y10" s="34">
        <f>SUMPRODUCT((Assignments!$G$2:$G$278=$A10)*(Assignments!$N$2:$N$278="Yes")*Assignments!$AD$2:$AD$278)</f>
        <v/>
      </c>
      <c r="Z10" s="50">
        <f>SUMIFS(Assignments!$M$2:$M$278,Assignments!$G$2:$G$278,$A10,Assignments!$N$2:$N$278,"Yes",Assignments!$AB$2:$AB$278,3)</f>
        <v/>
      </c>
    </row>
    <row r="11" ht="15" customHeight="1" s="20">
      <c r="A11" s="29">
        <f>Lookups!A11</f>
        <v/>
      </c>
      <c r="B11" s="29">
        <f>Lookups!B11</f>
        <v/>
      </c>
      <c r="C11" s="29">
        <f>Lookups!C11</f>
        <v/>
      </c>
      <c r="D11" s="29">
        <f>Lookups!E11</f>
        <v/>
      </c>
      <c r="E11" s="29">
        <f>COUNTIFS(Assignments!$G$2:$G$278,A11,Assignments!$N$2:$N$278,"Yes")</f>
        <v/>
      </c>
      <c r="F11" s="29">
        <f>$R$1</f>
        <v/>
      </c>
      <c r="G11" s="29">
        <f>IF(E11&lt;=F11,"OK","OVER BY "&amp;(E11-F11))</f>
        <v/>
      </c>
      <c r="H11" s="30">
        <f>SUMIFS(Assignments!$M$2:$M$278,Assignments!$G$2:$G$278,A11)</f>
        <v/>
      </c>
      <c r="I11" s="31">
        <f>SUMPRODUCT((Assignments!$G$2:$G$278=A11)/COUNTIFS(Assignments!$G$2:$G$278,Assignments!$G$2:$G$278,Assignments!$E$2:$E$278,Assignments!$E$2:$E$278))</f>
        <v/>
      </c>
      <c r="J11" s="31">
        <f>SUMPRODUCT((Assignments!$F$2:$F$278=A11)/COUNTIFS(Assignments!$F$2:$F$278,Assignments!$F$2:$F$278,Assignments!$E$2:$E$278,Assignments!$E$2:$E$278))</f>
        <v/>
      </c>
      <c r="K11" s="29">
        <f>COUNTIFS(Assignments!$G$2:$G$278,A11,Assignments!$N$2:$N$278,"Yes",Assignments!$L$2:$L$278,"No")</f>
        <v/>
      </c>
      <c r="L11" s="29">
        <f>COUNTIFS(Assignments!$G$2:$G$278,A11,Assignments!$Q$2:$Q$278,"Yes")</f>
        <v/>
      </c>
      <c r="M11" s="29">
        <f>ROUNDDOWN(E11*$R$2,0)</f>
        <v/>
      </c>
      <c r="N11" s="29">
        <f>IF(L11&gt;M11,"OVER BY "&amp;(L11-M11),IF(O11&gt;0,"Pending data","OK"))</f>
        <v/>
      </c>
      <c r="O11" s="29">
        <f>COUNTIFS(Assignments!$G$2:$G$278,A11,Assignments!$Q$2:$Q$278,"Pending")</f>
        <v/>
      </c>
      <c r="T11" s="19">
        <f>COUNTIFS(Assignments!$G$2:$G$278,$A11,Assignments!$N$2:$N$278,"Yes",Assignments!$AB$2:$AB$278,1)</f>
        <v/>
      </c>
      <c r="U11" s="19">
        <f>COUNTIFS(Assignments!$G$2:$G$278,$A11,Assignments!$N$2:$N$278,"Yes",Assignments!$AB$2:$AB$278,2)</f>
        <v/>
      </c>
      <c r="V11" s="19">
        <f>COUNTIFS(Assignments!$G$2:$G$278,$A11,Assignments!$N$2:$N$278,"Yes",Assignments!$AB$2:$AB$278,3)</f>
        <v/>
      </c>
      <c r="W11" s="19">
        <f>COUNTIFS(Assignments!$G$2:$G$278,$A11,Assignments!$N$2:$N$278,"Yes",Assignments!$AB$2:$AB$278,4)</f>
        <v/>
      </c>
      <c r="X11" s="33">
        <f>IFERROR((T11+U11)/COUNTIFS(Assignments!$G$2:$G$278,$A11,Assignments!$N$2:$N$278,"Yes"),"")</f>
        <v/>
      </c>
      <c r="Y11" s="34">
        <f>SUMPRODUCT((Assignments!$G$2:$G$278=$A11)*(Assignments!$N$2:$N$278="Yes")*Assignments!$AD$2:$AD$278)</f>
        <v/>
      </c>
      <c r="Z11" s="50">
        <f>SUMIFS(Assignments!$M$2:$M$278,Assignments!$G$2:$G$278,$A11,Assignments!$N$2:$N$278,"Yes",Assignments!$AB$2:$AB$278,3)</f>
        <v/>
      </c>
    </row>
    <row r="12" ht="15" customHeight="1" s="20">
      <c r="A12" s="29">
        <f>Lookups!A12</f>
        <v/>
      </c>
      <c r="B12" s="29">
        <f>Lookups!B12</f>
        <v/>
      </c>
      <c r="C12" s="29">
        <f>Lookups!C12</f>
        <v/>
      </c>
      <c r="D12" s="29">
        <f>Lookups!E12</f>
        <v/>
      </c>
      <c r="E12" s="29">
        <f>COUNTIFS(Assignments!$G$2:$G$278,A12,Assignments!$N$2:$N$278,"Yes")</f>
        <v/>
      </c>
      <c r="F12" s="29">
        <f>$R$1</f>
        <v/>
      </c>
      <c r="G12" s="29">
        <f>IF(E12&lt;=F12,"OK","OVER BY "&amp;(E12-F12))</f>
        <v/>
      </c>
      <c r="H12" s="30">
        <f>SUMIFS(Assignments!$M$2:$M$278,Assignments!$G$2:$G$278,A12)</f>
        <v/>
      </c>
      <c r="I12" s="31">
        <f>SUMPRODUCT((Assignments!$G$2:$G$278=A12)/COUNTIFS(Assignments!$G$2:$G$278,Assignments!$G$2:$G$278,Assignments!$E$2:$E$278,Assignments!$E$2:$E$278))</f>
        <v/>
      </c>
      <c r="J12" s="31">
        <f>SUMPRODUCT((Assignments!$F$2:$F$278=A12)/COUNTIFS(Assignments!$F$2:$F$278,Assignments!$F$2:$F$278,Assignments!$E$2:$E$278,Assignments!$E$2:$E$278))</f>
        <v/>
      </c>
      <c r="K12" s="29">
        <f>COUNTIFS(Assignments!$G$2:$G$278,A12,Assignments!$N$2:$N$278,"Yes",Assignments!$L$2:$L$278,"No")</f>
        <v/>
      </c>
      <c r="L12" s="29">
        <f>COUNTIFS(Assignments!$G$2:$G$278,A12,Assignments!$Q$2:$Q$278,"Yes")</f>
        <v/>
      </c>
      <c r="M12" s="29">
        <f>ROUNDDOWN(E12*$R$2,0)</f>
        <v/>
      </c>
      <c r="N12" s="29">
        <f>IF(L12&gt;M12,"OVER BY "&amp;(L12-M12),IF(O12&gt;0,"Pending data","OK"))</f>
        <v/>
      </c>
      <c r="O12" s="29">
        <f>COUNTIFS(Assignments!$G$2:$G$278,A12,Assignments!$Q$2:$Q$278,"Pending")</f>
        <v/>
      </c>
      <c r="T12" s="19">
        <f>COUNTIFS(Assignments!$G$2:$G$278,$A12,Assignments!$N$2:$N$278,"Yes",Assignments!$AB$2:$AB$278,1)</f>
        <v/>
      </c>
      <c r="U12" s="19">
        <f>COUNTIFS(Assignments!$G$2:$G$278,$A12,Assignments!$N$2:$N$278,"Yes",Assignments!$AB$2:$AB$278,2)</f>
        <v/>
      </c>
      <c r="V12" s="19">
        <f>COUNTIFS(Assignments!$G$2:$G$278,$A12,Assignments!$N$2:$N$278,"Yes",Assignments!$AB$2:$AB$278,3)</f>
        <v/>
      </c>
      <c r="W12" s="19">
        <f>COUNTIFS(Assignments!$G$2:$G$278,$A12,Assignments!$N$2:$N$278,"Yes",Assignments!$AB$2:$AB$278,4)</f>
        <v/>
      </c>
      <c r="X12" s="33">
        <f>IFERROR((T12+U12)/COUNTIFS(Assignments!$G$2:$G$278,$A12,Assignments!$N$2:$N$278,"Yes"),"")</f>
        <v/>
      </c>
      <c r="Y12" s="34">
        <f>SUMPRODUCT((Assignments!$G$2:$G$278=$A12)*(Assignments!$N$2:$N$278="Yes")*Assignments!$AD$2:$AD$278)</f>
        <v/>
      </c>
      <c r="Z12" s="50">
        <f>SUMIFS(Assignments!$M$2:$M$278,Assignments!$G$2:$G$278,$A12,Assignments!$N$2:$N$278,"Yes",Assignments!$AB$2:$AB$278,3)</f>
        <v/>
      </c>
    </row>
    <row r="13" ht="15" customHeight="1" s="20">
      <c r="A13" s="29">
        <f>Lookups!A13</f>
        <v/>
      </c>
      <c r="B13" s="29">
        <f>Lookups!B13</f>
        <v/>
      </c>
      <c r="C13" s="29">
        <f>Lookups!C13</f>
        <v/>
      </c>
      <c r="D13" s="29">
        <f>Lookups!E13</f>
        <v/>
      </c>
      <c r="E13" s="29">
        <f>COUNTIFS(Assignments!$G$2:$G$278,A13,Assignments!$N$2:$N$278,"Yes")</f>
        <v/>
      </c>
      <c r="F13" s="29">
        <f>$R$1</f>
        <v/>
      </c>
      <c r="G13" s="29">
        <f>IF(E13&lt;=F13,"OK","OVER BY "&amp;(E13-F13))</f>
        <v/>
      </c>
      <c r="H13" s="30">
        <f>SUMIFS(Assignments!$M$2:$M$278,Assignments!$G$2:$G$278,A13)</f>
        <v/>
      </c>
      <c r="I13" s="31">
        <f>SUMPRODUCT((Assignments!$G$2:$G$278=A13)/COUNTIFS(Assignments!$G$2:$G$278,Assignments!$G$2:$G$278,Assignments!$E$2:$E$278,Assignments!$E$2:$E$278))</f>
        <v/>
      </c>
      <c r="J13" s="31">
        <f>SUMPRODUCT((Assignments!$F$2:$F$278=A13)/COUNTIFS(Assignments!$F$2:$F$278,Assignments!$F$2:$F$278,Assignments!$E$2:$E$278,Assignments!$E$2:$E$278))</f>
        <v/>
      </c>
      <c r="K13" s="29">
        <f>COUNTIFS(Assignments!$G$2:$G$278,A13,Assignments!$N$2:$N$278,"Yes",Assignments!$L$2:$L$278,"No")</f>
        <v/>
      </c>
      <c r="L13" s="29">
        <f>COUNTIFS(Assignments!$G$2:$G$278,A13,Assignments!$Q$2:$Q$278,"Yes")</f>
        <v/>
      </c>
      <c r="M13" s="29">
        <f>ROUNDDOWN(E13*$R$2,0)</f>
        <v/>
      </c>
      <c r="N13" s="29">
        <f>IF(L13&gt;M13,"OVER BY "&amp;(L13-M13),IF(O13&gt;0,"Pending data","OK"))</f>
        <v/>
      </c>
      <c r="O13" s="29">
        <f>COUNTIFS(Assignments!$G$2:$G$278,A13,Assignments!$Q$2:$Q$278,"Pending")</f>
        <v/>
      </c>
      <c r="T13" s="19">
        <f>COUNTIFS(Assignments!$G$2:$G$278,$A13,Assignments!$N$2:$N$278,"Yes",Assignments!$AB$2:$AB$278,1)</f>
        <v/>
      </c>
      <c r="U13" s="19">
        <f>COUNTIFS(Assignments!$G$2:$G$278,$A13,Assignments!$N$2:$N$278,"Yes",Assignments!$AB$2:$AB$278,2)</f>
        <v/>
      </c>
      <c r="V13" s="19">
        <f>COUNTIFS(Assignments!$G$2:$G$278,$A13,Assignments!$N$2:$N$278,"Yes",Assignments!$AB$2:$AB$278,3)</f>
        <v/>
      </c>
      <c r="W13" s="19">
        <f>COUNTIFS(Assignments!$G$2:$G$278,$A13,Assignments!$N$2:$N$278,"Yes",Assignments!$AB$2:$AB$278,4)</f>
        <v/>
      </c>
      <c r="X13" s="33">
        <f>IFERROR((T13+U13)/COUNTIFS(Assignments!$G$2:$G$278,$A13,Assignments!$N$2:$N$278,"Yes"),"")</f>
        <v/>
      </c>
      <c r="Y13" s="34">
        <f>SUMPRODUCT((Assignments!$G$2:$G$278=$A13)*(Assignments!$N$2:$N$278="Yes")*Assignments!$AD$2:$AD$278)</f>
        <v/>
      </c>
      <c r="Z13" s="50">
        <f>SUMIFS(Assignments!$M$2:$M$278,Assignments!$G$2:$G$278,$A13,Assignments!$N$2:$N$278,"Yes",Assignments!$AB$2:$AB$278,3)</f>
        <v/>
      </c>
    </row>
    <row r="14" ht="15" customHeight="1" s="20">
      <c r="A14" s="29">
        <f>Lookups!A14</f>
        <v/>
      </c>
      <c r="B14" s="29">
        <f>Lookups!B14</f>
        <v/>
      </c>
      <c r="C14" s="29">
        <f>Lookups!C14</f>
        <v/>
      </c>
      <c r="D14" s="29">
        <f>Lookups!E14</f>
        <v/>
      </c>
      <c r="E14" s="29">
        <f>COUNTIFS(Assignments!$G$2:$G$278,A14,Assignments!$N$2:$N$278,"Yes")</f>
        <v/>
      </c>
      <c r="F14" s="29" t="inlineStr">
        <is>
          <t>n/a</t>
        </is>
      </c>
      <c r="G14" s="29" t="inlineStr">
        <is>
          <t>Manager book</t>
        </is>
      </c>
      <c r="H14" s="30">
        <f>SUMIFS(Assignments!$M$2:$M$278,Assignments!$G$2:$G$278,A14)</f>
        <v/>
      </c>
      <c r="I14" s="31">
        <f>SUMPRODUCT((Assignments!$G$2:$G$278=A14)/COUNTIFS(Assignments!$G$2:$G$278,Assignments!$G$2:$G$278,Assignments!$E$2:$E$278,Assignments!$E$2:$E$278))</f>
        <v/>
      </c>
      <c r="J14" s="31">
        <f>SUMPRODUCT((Assignments!$F$2:$F$278=A14)/COUNTIFS(Assignments!$F$2:$F$278,Assignments!$F$2:$F$278,Assignments!$E$2:$E$278,Assignments!$E$2:$E$278))</f>
        <v/>
      </c>
      <c r="K14" s="29">
        <f>COUNTIFS(Assignments!$G$2:$G$278,A14,Assignments!$N$2:$N$278,"Yes",Assignments!$L$2:$L$278,"No")</f>
        <v/>
      </c>
      <c r="L14" s="29">
        <f>COUNTIFS(Assignments!$G$2:$G$278,A14,Assignments!$Q$2:$Q$278,"Yes")</f>
        <v/>
      </c>
      <c r="M14" s="29">
        <f>ROUNDDOWN(E14*$R$2,0)</f>
        <v/>
      </c>
      <c r="N14" s="29">
        <f>IF(L14&gt;M14,"OVER BY "&amp;(L14-M14),IF(O14&gt;0,"Pending data","OK"))</f>
        <v/>
      </c>
      <c r="O14" s="29">
        <f>COUNTIFS(Assignments!$G$2:$G$278,A14,Assignments!$Q$2:$Q$278,"Pending")</f>
        <v/>
      </c>
      <c r="T14" s="19">
        <f>COUNTIFS(Assignments!$G$2:$G$278,$A14,Assignments!$N$2:$N$278,"Yes",Assignments!$AB$2:$AB$278,1)</f>
        <v/>
      </c>
      <c r="U14" s="19">
        <f>COUNTIFS(Assignments!$G$2:$G$278,$A14,Assignments!$N$2:$N$278,"Yes",Assignments!$AB$2:$AB$278,2)</f>
        <v/>
      </c>
      <c r="V14" s="19">
        <f>COUNTIFS(Assignments!$G$2:$G$278,$A14,Assignments!$N$2:$N$278,"Yes",Assignments!$AB$2:$AB$278,3)</f>
        <v/>
      </c>
      <c r="W14" s="19">
        <f>COUNTIFS(Assignments!$G$2:$G$278,$A14,Assignments!$N$2:$N$278,"Yes",Assignments!$AB$2:$AB$278,4)</f>
        <v/>
      </c>
      <c r="X14" s="33">
        <f>IFERROR((T14+U14)/COUNTIFS(Assignments!$G$2:$G$278,$A14,Assignments!$N$2:$N$278,"Yes"),"")</f>
        <v/>
      </c>
      <c r="Y14" s="34">
        <f>SUMPRODUCT((Assignments!$G$2:$G$278=$A14)*(Assignments!$N$2:$N$278="Yes")*Assignments!$AD$2:$AD$278)</f>
        <v/>
      </c>
      <c r="Z14" s="50">
        <f>SUMIFS(Assignments!$M$2:$M$278,Assignments!$G$2:$G$278,$A14,Assignments!$N$2:$N$278,"Yes",Assignments!$AB$2:$AB$278,3)</f>
        <v/>
      </c>
    </row>
    <row r="15" ht="15" customHeight="1" s="20">
      <c r="A15" s="26" t="inlineStr">
        <is>
          <t>Enterprise total</t>
        </is>
      </c>
      <c r="E15" s="26">
        <f>SUM(E2:E14)</f>
        <v/>
      </c>
      <c r="H15" s="37">
        <f>SUM(H2:H14)</f>
        <v/>
      </c>
      <c r="I15" s="38">
        <f>AVERAGE(I2:I13)</f>
        <v/>
      </c>
      <c r="J15" s="38">
        <f>AVERAGEIF(J2:J13,"&gt;0")</f>
        <v/>
      </c>
      <c r="K15" s="26">
        <f>SUM(K2:K14)</f>
        <v/>
      </c>
    </row>
    <row r="16" ht="15" customHeight="1" s="20">
      <c r="A16" s="36" t="inlineStr">
        <is>
          <t>AE counts include map gaps (open seats, no State AE shown, DC not on either map) as one counterpart each. Revised average covers the 12 XP seats including the open XP2; WIP average covers the 11 XPs with a WIP book. Both exclude Carolina Prieto's manager book.</t>
        </is>
      </c>
    </row>
  </sheetData>
  <conditionalFormatting sqref="G2:G14">
    <cfRule type="expression" rank="0" priority="2" equalAverage="0" aboveAverage="0" dxfId="0" text="" percent="0" bottom="0">
      <formula>LEFT(G2,4)="OVER"</formula>
    </cfRule>
  </conditionalFormatting>
  <conditionalFormatting sqref="N2:N14">
    <cfRule type="expression" rank="0" priority="3" equalAverage="0" aboveAverage="0" dxfId="0" text="" percent="0" bottom="0">
      <formula>LEFT(N2,4)="OVER"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9" min="1" max="1"/>
    <col width="30" customWidth="1" style="19" min="2" max="2"/>
    <col width="26" customWidth="1" style="19" min="3" max="3"/>
    <col width="22" customWidth="1" style="19" min="4" max="4"/>
    <col width="16" customWidth="1" style="19" min="5" max="5"/>
    <col width="10" customWidth="1" style="19" min="6" max="6"/>
  </cols>
  <sheetData>
    <row r="1" ht="23.85" customHeight="1" s="20">
      <c r="A1" s="25" t="inlineStr">
        <is>
          <t>Hold</t>
        </is>
      </c>
      <c r="B1" s="25" t="inlineStr">
        <is>
          <t>Account</t>
        </is>
      </c>
      <c r="C1" s="25" t="inlineStr">
        <is>
          <t>Required</t>
        </is>
      </c>
      <c r="D1" s="25" t="inlineStr">
        <is>
          <t>Assigned XP</t>
        </is>
      </c>
      <c r="E1" s="25" t="inlineStr">
        <is>
          <t>Assigned Manager</t>
        </is>
      </c>
      <c r="F1" s="25" t="inlineStr">
        <is>
          <t>Result</t>
        </is>
      </c>
    </row>
    <row r="2" ht="15" customHeight="1" s="20">
      <c r="A2" s="29" t="inlineStr">
        <is>
          <t>San Antonio stays with Steffany</t>
        </is>
      </c>
      <c r="B2" s="29" t="inlineStr">
        <is>
          <t>San Antonio, TX</t>
        </is>
      </c>
      <c r="C2" s="39" t="inlineStr">
        <is>
          <t>Steffany Amador</t>
        </is>
      </c>
      <c r="D2" s="29">
        <f>INDEX(Assignments!$G$2:$G$278,MATCH(B2,Assignments!$A$2:$A$278,0))</f>
        <v/>
      </c>
      <c r="E2" s="29">
        <f>INDEX(Assignments!$I$2:$I$278,MATCH(B2,Assignments!$A$2:$A$278,0))</f>
        <v/>
      </c>
      <c r="F2" s="29">
        <f>IF(D2=C2,"Met","BROKEN")</f>
        <v/>
      </c>
    </row>
    <row r="3" ht="15" customHeight="1" s="20">
      <c r="A3" s="29" t="inlineStr">
        <is>
          <t>DC stays with Paige</t>
        </is>
      </c>
      <c r="B3" s="29" t="inlineStr">
        <is>
          <t>District of Columbia</t>
        </is>
      </c>
      <c r="C3" s="39" t="inlineStr">
        <is>
          <t>Paige Wendle</t>
        </is>
      </c>
      <c r="D3" s="29">
        <f>INDEX(Assignments!$G$2:$G$278,MATCH(B3,Assignments!$A$2:$A$278,0))</f>
        <v/>
      </c>
      <c r="E3" s="29">
        <f>INDEX(Assignments!$I$2:$I$278,MATCH(B3,Assignments!$A$2:$A$278,0))</f>
        <v/>
      </c>
      <c r="F3" s="29">
        <f>IF(D3=C3,"Met","BROKEN")</f>
        <v/>
      </c>
    </row>
    <row r="4" ht="15" customHeight="1" s="20">
      <c r="A4" s="29" t="inlineStr">
        <is>
          <t>Denver held by a Savannah report</t>
        </is>
      </c>
      <c r="B4" s="29" t="inlineStr">
        <is>
          <t>Denver City and County, CO</t>
        </is>
      </c>
      <c r="C4" s="39" t="inlineStr">
        <is>
          <t>Savannah Lane</t>
        </is>
      </c>
      <c r="D4" s="29">
        <f>INDEX(Assignments!$G$2:$G$278,MATCH(B4,Assignments!$A$2:$A$278,0))</f>
        <v/>
      </c>
      <c r="E4" s="29">
        <f>INDEX(Assignments!$I$2:$I$278,MATCH(B4,Assignments!$A$2:$A$278,0))</f>
        <v/>
      </c>
      <c r="F4" s="29">
        <f>IF(E4=C4,"Met","BROKEN")</f>
        <v/>
      </c>
    </row>
    <row r="5" ht="15" customHeight="1" s="20">
      <c r="A5" s="29" t="inlineStr">
        <is>
          <t>Columbus held by an Ashley report</t>
        </is>
      </c>
      <c r="B5" s="29" t="inlineStr">
        <is>
          <t>Columbus OH</t>
        </is>
      </c>
      <c r="C5" s="39" t="inlineStr">
        <is>
          <t>Ashley Hill</t>
        </is>
      </c>
      <c r="D5" s="29">
        <f>INDEX(Assignments!$G$2:$G$278,MATCH(B5,Assignments!$A$2:$A$278,0))</f>
        <v/>
      </c>
      <c r="E5" s="29">
        <f>INDEX(Assignments!$I$2:$I$278,MATCH(B5,Assignments!$A$2:$A$278,0))</f>
        <v/>
      </c>
      <c r="F5" s="29">
        <f>IF(E5=C5,"Met","BROKEN")</f>
        <v/>
      </c>
    </row>
    <row r="6" ht="15" customHeight="1" s="20">
      <c r="A6" s="29" t="inlineStr">
        <is>
          <t>Colleen keeps Los Angeles</t>
        </is>
      </c>
      <c r="B6" s="29" t="inlineStr">
        <is>
          <t>Los Angeles, CA</t>
        </is>
      </c>
      <c r="C6" s="39" t="inlineStr">
        <is>
          <t>Colleen Moran</t>
        </is>
      </c>
      <c r="D6" s="29">
        <f>INDEX(Assignments!$G$2:$G$278,MATCH(B6,Assignments!$A$2:$A$278,0))</f>
        <v/>
      </c>
      <c r="E6" s="29">
        <f>INDEX(Assignments!$I$2:$I$278,MATCH(B6,Assignments!$A$2:$A$278,0))</f>
        <v/>
      </c>
      <c r="F6" s="29">
        <f>IF(D6=C6,"Met","BROKEN")</f>
        <v/>
      </c>
    </row>
    <row r="7" ht="15" customHeight="1" s="20">
      <c r="A7" s="29" t="inlineStr">
        <is>
          <t>Colleen keeps GLACVCD</t>
        </is>
      </c>
      <c r="B7" s="29" t="inlineStr">
        <is>
          <t>Greater Los Angeles County Vector Control District CA</t>
        </is>
      </c>
      <c r="C7" s="39" t="inlineStr">
        <is>
          <t>Colleen Moran</t>
        </is>
      </c>
      <c r="D7" s="29">
        <f>INDEX(Assignments!$G$2:$G$278,MATCH(B7,Assignments!$A$2:$A$278,0))</f>
        <v/>
      </c>
      <c r="E7" s="29">
        <f>INDEX(Assignments!$I$2:$I$278,MATCH(B7,Assignments!$A$2:$A$278,0))</f>
        <v/>
      </c>
      <c r="F7" s="29">
        <f>IF(D7=C7,"Met","BROKEN")</f>
        <v/>
      </c>
    </row>
    <row r="8" ht="15" customHeight="1" s="20">
      <c r="A8" s="29" t="inlineStr">
        <is>
          <t>Steffany takes Texas state</t>
        </is>
      </c>
      <c r="B8" s="29" t="inlineStr">
        <is>
          <t>Texas Department of Transportation (TXDOT)</t>
        </is>
      </c>
      <c r="C8" s="39" t="inlineStr">
        <is>
          <t>Steffany Amador</t>
        </is>
      </c>
      <c r="D8" s="29">
        <f>INDEX(Assignments!$G$2:$G$278,MATCH(B8,Assignments!$A$2:$A$278,0))</f>
        <v/>
      </c>
      <c r="E8" s="29">
        <f>INDEX(Assignments!$I$2:$I$278,MATCH(B8,Assignments!$A$2:$A$278,0))</f>
        <v/>
      </c>
      <c r="F8" s="29">
        <f>IF(D8=C8,"Met","BROKEN")</f>
        <v/>
      </c>
    </row>
    <row r="9" ht="15" customHeight="1" s="20">
      <c r="A9" s="29" t="inlineStr">
        <is>
          <t>Miami stays with Taylor</t>
        </is>
      </c>
      <c r="B9" s="29" t="inlineStr">
        <is>
          <t>Miami FL</t>
        </is>
      </c>
      <c r="C9" s="39" t="inlineStr">
        <is>
          <t>Taylor Roman</t>
        </is>
      </c>
      <c r="D9" s="29">
        <f>INDEX(Assignments!$G$2:$G$278,MATCH(B9,Assignments!$A$2:$A$278,0))</f>
        <v/>
      </c>
      <c r="E9" s="29">
        <f>INDEX(Assignments!$I$2:$I$278,MATCH(B9,Assignments!$A$2:$A$278,0))</f>
        <v/>
      </c>
      <c r="F9" s="29">
        <f>IF(D9=C9,"Met","BROKEN")</f>
        <v/>
      </c>
    </row>
    <row r="10" ht="15" customHeight="1" s="20">
      <c r="A10" s="29" t="inlineStr">
        <is>
          <t>Paige keeps Washington</t>
        </is>
      </c>
      <c r="B10" s="29" t="inlineStr">
        <is>
          <t>Washington Department of Transportation</t>
        </is>
      </c>
      <c r="C10" s="39" t="inlineStr">
        <is>
          <t>Paige Wendle</t>
        </is>
      </c>
      <c r="D10" s="29">
        <f>INDEX(Assignments!$G$2:$G$278,MATCH(B10,Assignments!$A$2:$A$278,0))</f>
        <v/>
      </c>
      <c r="E10" s="29">
        <f>INDEX(Assignments!$I$2:$I$278,MATCH(B10,Assignments!$A$2:$A$278,0))</f>
        <v/>
      </c>
      <c r="F10" s="29">
        <f>IF(D10=C10,"Met","BROKEN")</f>
        <v/>
      </c>
    </row>
    <row r="11" ht="15" customHeight="1" s="20">
      <c r="A11" s="29" t="inlineStr">
        <is>
          <t>Halena keeps Connecticut</t>
        </is>
      </c>
      <c r="B11" s="29" t="inlineStr">
        <is>
          <t>Connecticut Department of Administrative Services</t>
        </is>
      </c>
      <c r="C11" s="39" t="inlineStr">
        <is>
          <t>Halena Martin</t>
        </is>
      </c>
      <c r="D11" s="29">
        <f>INDEX(Assignments!$G$2:$G$278,MATCH(B11,Assignments!$A$2:$A$278,0))</f>
        <v/>
      </c>
      <c r="E11" s="29">
        <f>INDEX(Assignments!$I$2:$I$278,MATCH(B11,Assignments!$A$2:$A$278,0))</f>
        <v/>
      </c>
      <c r="F11" s="29">
        <f>IF(D11=C11,"Met","BROKEN")</f>
        <v/>
      </c>
    </row>
    <row r="12" ht="15" customHeight="1" s="20">
      <c r="A12" s="29" t="inlineStr">
        <is>
          <t>Halena keeps Maine</t>
        </is>
      </c>
      <c r="B12" s="29" t="inlineStr">
        <is>
          <t>Maine</t>
        </is>
      </c>
      <c r="C12" s="39" t="inlineStr">
        <is>
          <t>Halena Martin</t>
        </is>
      </c>
      <c r="D12" s="29">
        <f>INDEX(Assignments!$G$2:$G$278,MATCH(B12,Assignments!$A$2:$A$278,0))</f>
        <v/>
      </c>
      <c r="E12" s="29">
        <f>INDEX(Assignments!$I$2:$I$278,MATCH(B12,Assignments!$A$2:$A$278,0))</f>
        <v/>
      </c>
      <c r="F12" s="29">
        <f>IF(D12=C12,"Met","BROKEN")</f>
        <v/>
      </c>
    </row>
  </sheetData>
  <conditionalFormatting sqref="F2:F12">
    <cfRule type="expression" rank="0" priority="2" equalAverage="0" aboveAverage="0" dxfId="0" text="" percent="0" bottom="0">
      <formula>F2="BROKEN"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11" customWidth="1" style="19" min="2" max="2"/>
    <col width="14" customWidth="1" style="19" min="3" max="4"/>
    <col width="12" customWidth="1" style="19" min="5" max="5"/>
    <col width="13" customWidth="1" style="19" min="6" max="6"/>
  </cols>
  <sheetData>
    <row r="1" ht="23.85" customHeight="1" s="20">
      <c r="A1" s="25" t="inlineStr">
        <is>
          <t>AE / SAM</t>
        </is>
      </c>
      <c r="B1" s="25" t="inlineStr">
        <is>
          <t>Map</t>
        </is>
      </c>
      <c r="C1" s="25" t="inlineStr">
        <is>
          <t>XPs Worked With (Revised)</t>
        </is>
      </c>
      <c r="D1" s="25" t="inlineStr">
        <is>
          <t>XPs Worked With (WIP)</t>
        </is>
      </c>
      <c r="E1" s="25" t="inlineStr">
        <is>
          <t>Countable Accounts</t>
        </is>
      </c>
      <c r="F1" s="25" t="inlineStr">
        <is>
          <t>ARR</t>
        </is>
      </c>
    </row>
    <row r="2" ht="15" customHeight="1" s="20">
      <c r="A2" s="29" t="inlineStr">
        <is>
          <t>Andrew Wyzkoski</t>
        </is>
      </c>
      <c r="B2" s="29" t="inlineStr">
        <is>
          <t>Local ENT</t>
        </is>
      </c>
      <c r="C2" s="31">
        <f>SUMPRODUCT((Assignments!$E$2:$E$278=A2)/COUNTIFS(Assignments!$E$2:$E$278,Assignments!$E$2:$E$278,Assignments!$G$2:$G$278,Assignments!$G$2:$G$278))</f>
        <v/>
      </c>
      <c r="D2" s="31">
        <f>SUMPRODUCT((Assignments!$E$2:$E$278=A2)/COUNTIFS(Assignments!$E$2:$E$278,Assignments!$E$2:$E$278,Assignments!$F$2:$F$278,Assignments!$F$2:$F$278))</f>
        <v/>
      </c>
      <c r="E2" s="29">
        <f>COUNTIFS(Assignments!$E$2:$E$278,A2,Assignments!$N$2:$N$278,"Yes")</f>
        <v/>
      </c>
      <c r="F2" s="40">
        <f>SUMIFS(Assignments!$M$2:$M$278,Assignments!$E$2:$E$278,A2)</f>
        <v/>
      </c>
    </row>
    <row r="3" ht="15" customHeight="1" s="20">
      <c r="A3" s="29" t="inlineStr">
        <is>
          <t>Austin Goodman</t>
        </is>
      </c>
      <c r="B3" s="29" t="inlineStr">
        <is>
          <t>Local ENT</t>
        </is>
      </c>
      <c r="C3" s="31">
        <f>SUMPRODUCT((Assignments!$E$2:$E$278=A3)/COUNTIFS(Assignments!$E$2:$E$278,Assignments!$E$2:$E$278,Assignments!$G$2:$G$278,Assignments!$G$2:$G$278))</f>
        <v/>
      </c>
      <c r="D3" s="31">
        <f>SUMPRODUCT((Assignments!$E$2:$E$278=A3)/COUNTIFS(Assignments!$E$2:$E$278,Assignments!$E$2:$E$278,Assignments!$F$2:$F$278,Assignments!$F$2:$F$278))</f>
        <v/>
      </c>
      <c r="E3" s="29">
        <f>COUNTIFS(Assignments!$E$2:$E$278,A3,Assignments!$N$2:$N$278,"Yes")</f>
        <v/>
      </c>
      <c r="F3" s="40">
        <f>SUMIFS(Assignments!$M$2:$M$278,Assignments!$E$2:$E$278,A3)</f>
        <v/>
      </c>
    </row>
    <row r="4" ht="15" customHeight="1" s="20">
      <c r="A4" s="29" t="inlineStr">
        <is>
          <t>Bill Marshall</t>
        </is>
      </c>
      <c r="B4" s="29" t="inlineStr">
        <is>
          <t>Local ENT</t>
        </is>
      </c>
      <c r="C4" s="31">
        <f>SUMPRODUCT((Assignments!$E$2:$E$278=A4)/COUNTIFS(Assignments!$E$2:$E$278,Assignments!$E$2:$E$278,Assignments!$G$2:$G$278,Assignments!$G$2:$G$278))</f>
        <v/>
      </c>
      <c r="D4" s="31">
        <f>SUMPRODUCT((Assignments!$E$2:$E$278=A4)/COUNTIFS(Assignments!$E$2:$E$278,Assignments!$E$2:$E$278,Assignments!$F$2:$F$278,Assignments!$F$2:$F$278))</f>
        <v/>
      </c>
      <c r="E4" s="29">
        <f>COUNTIFS(Assignments!$E$2:$E$278,A4,Assignments!$N$2:$N$278,"Yes")</f>
        <v/>
      </c>
      <c r="F4" s="40">
        <f>SUMIFS(Assignments!$M$2:$M$278,Assignments!$E$2:$E$278,A4)</f>
        <v/>
      </c>
    </row>
    <row r="5" ht="15" customHeight="1" s="20">
      <c r="A5" s="29" t="inlineStr">
        <is>
          <t>Carrie Breedlove</t>
        </is>
      </c>
      <c r="B5" s="29" t="inlineStr">
        <is>
          <t>Local ENT</t>
        </is>
      </c>
      <c r="C5" s="31">
        <f>SUMPRODUCT((Assignments!$E$2:$E$278=A5)/COUNTIFS(Assignments!$E$2:$E$278,Assignments!$E$2:$E$278,Assignments!$G$2:$G$278,Assignments!$G$2:$G$278))</f>
        <v/>
      </c>
      <c r="D5" s="31">
        <f>SUMPRODUCT((Assignments!$E$2:$E$278=A5)/COUNTIFS(Assignments!$E$2:$E$278,Assignments!$E$2:$E$278,Assignments!$F$2:$F$278,Assignments!$F$2:$F$278))</f>
        <v/>
      </c>
      <c r="E5" s="29">
        <f>COUNTIFS(Assignments!$E$2:$E$278,A5,Assignments!$N$2:$N$278,"Yes")</f>
        <v/>
      </c>
      <c r="F5" s="40">
        <f>SUMIFS(Assignments!$M$2:$M$278,Assignments!$E$2:$E$278,A5)</f>
        <v/>
      </c>
    </row>
    <row r="6" ht="15" customHeight="1" s="20">
      <c r="A6" s="29" t="inlineStr">
        <is>
          <t>Carter Bradford</t>
        </is>
      </c>
      <c r="B6" s="29" t="inlineStr">
        <is>
          <t>Local ENT</t>
        </is>
      </c>
      <c r="C6" s="31">
        <f>SUMPRODUCT((Assignments!$E$2:$E$278=A6)/COUNTIFS(Assignments!$E$2:$E$278,Assignments!$E$2:$E$278,Assignments!$G$2:$G$278,Assignments!$G$2:$G$278))</f>
        <v/>
      </c>
      <c r="D6" s="31">
        <f>SUMPRODUCT((Assignments!$E$2:$E$278=A6)/COUNTIFS(Assignments!$E$2:$E$278,Assignments!$E$2:$E$278,Assignments!$F$2:$F$278,Assignments!$F$2:$F$278))</f>
        <v/>
      </c>
      <c r="E6" s="29">
        <f>COUNTIFS(Assignments!$E$2:$E$278,A6,Assignments!$N$2:$N$278,"Yes")</f>
        <v/>
      </c>
      <c r="F6" s="40">
        <f>SUMIFS(Assignments!$M$2:$M$278,Assignments!$E$2:$E$278,A6)</f>
        <v/>
      </c>
    </row>
    <row r="7" ht="15" customHeight="1" s="20">
      <c r="A7" s="29" t="inlineStr">
        <is>
          <t>Cedric Simpkins</t>
        </is>
      </c>
      <c r="B7" s="29" t="inlineStr">
        <is>
          <t>Local ENT</t>
        </is>
      </c>
      <c r="C7" s="31">
        <f>SUMPRODUCT((Assignments!$E$2:$E$278=A7)/COUNTIFS(Assignments!$E$2:$E$278,Assignments!$E$2:$E$278,Assignments!$G$2:$G$278,Assignments!$G$2:$G$278))</f>
        <v/>
      </c>
      <c r="D7" s="31">
        <f>SUMPRODUCT((Assignments!$E$2:$E$278=A7)/COUNTIFS(Assignments!$E$2:$E$278,Assignments!$E$2:$E$278,Assignments!$F$2:$F$278,Assignments!$F$2:$F$278))</f>
        <v/>
      </c>
      <c r="E7" s="29">
        <f>COUNTIFS(Assignments!$E$2:$E$278,A7,Assignments!$N$2:$N$278,"Yes")</f>
        <v/>
      </c>
      <c r="F7" s="40">
        <f>SUMIFS(Assignments!$M$2:$M$278,Assignments!$E$2:$E$278,A7)</f>
        <v/>
      </c>
    </row>
    <row r="8" ht="15" customHeight="1" s="20">
      <c r="A8" s="29" t="inlineStr">
        <is>
          <t>Conrad Taylor</t>
        </is>
      </c>
      <c r="B8" s="29" t="inlineStr">
        <is>
          <t>Local ENT</t>
        </is>
      </c>
      <c r="C8" s="31">
        <f>SUMPRODUCT((Assignments!$E$2:$E$278=A8)/COUNTIFS(Assignments!$E$2:$E$278,Assignments!$E$2:$E$278,Assignments!$G$2:$G$278,Assignments!$G$2:$G$278))</f>
        <v/>
      </c>
      <c r="D8" s="31">
        <f>SUMPRODUCT((Assignments!$E$2:$E$278=A8)/COUNTIFS(Assignments!$E$2:$E$278,Assignments!$E$2:$E$278,Assignments!$F$2:$F$278,Assignments!$F$2:$F$278))</f>
        <v/>
      </c>
      <c r="E8" s="29">
        <f>COUNTIFS(Assignments!$E$2:$E$278,A8,Assignments!$N$2:$N$278,"Yes")</f>
        <v/>
      </c>
      <c r="F8" s="40">
        <f>SUMIFS(Assignments!$M$2:$M$278,Assignments!$E$2:$E$278,A8)</f>
        <v/>
      </c>
    </row>
    <row r="9" ht="15" customHeight="1" s="20">
      <c r="A9" s="29" t="inlineStr">
        <is>
          <t>Dallas SAM (open)</t>
        </is>
      </c>
      <c r="B9" s="29" t="inlineStr">
        <is>
          <t>Local ENT</t>
        </is>
      </c>
      <c r="C9" s="31">
        <f>SUMPRODUCT((Assignments!$E$2:$E$278=A9)/COUNTIFS(Assignments!$E$2:$E$278,Assignments!$E$2:$E$278,Assignments!$G$2:$G$278,Assignments!$G$2:$G$278))</f>
        <v/>
      </c>
      <c r="D9" s="31">
        <f>SUMPRODUCT((Assignments!$E$2:$E$278=A9)/COUNTIFS(Assignments!$E$2:$E$278,Assignments!$E$2:$E$278,Assignments!$F$2:$F$278,Assignments!$F$2:$F$278))</f>
        <v/>
      </c>
      <c r="E9" s="29">
        <f>COUNTIFS(Assignments!$E$2:$E$278,A9,Assignments!$N$2:$N$278,"Yes")</f>
        <v/>
      </c>
      <c r="F9" s="40">
        <f>SUMIFS(Assignments!$M$2:$M$278,Assignments!$E$2:$E$278,A9)</f>
        <v/>
      </c>
    </row>
    <row r="10" ht="15" customHeight="1" s="20">
      <c r="A10" s="29" t="inlineStr">
        <is>
          <t>David Cliff</t>
        </is>
      </c>
      <c r="B10" s="29" t="inlineStr">
        <is>
          <t>Local ENT</t>
        </is>
      </c>
      <c r="C10" s="31">
        <f>SUMPRODUCT((Assignments!$E$2:$E$278=A10)/COUNTIFS(Assignments!$E$2:$E$278,Assignments!$E$2:$E$278,Assignments!$G$2:$G$278,Assignments!$G$2:$G$278))</f>
        <v/>
      </c>
      <c r="D10" s="31">
        <f>SUMPRODUCT((Assignments!$E$2:$E$278=A10)/COUNTIFS(Assignments!$E$2:$E$278,Assignments!$E$2:$E$278,Assignments!$F$2:$F$278,Assignments!$F$2:$F$278))</f>
        <v/>
      </c>
      <c r="E10" s="29">
        <f>COUNTIFS(Assignments!$E$2:$E$278,A10,Assignments!$N$2:$N$278,"Yes")</f>
        <v/>
      </c>
      <c r="F10" s="40">
        <f>SUMIFS(Assignments!$M$2:$M$278,Assignments!$E$2:$E$278,A10)</f>
        <v/>
      </c>
    </row>
    <row r="11" ht="15" customHeight="1" s="20">
      <c r="A11" s="29" t="inlineStr">
        <is>
          <t>Desmond Davis</t>
        </is>
      </c>
      <c r="B11" s="29" t="inlineStr">
        <is>
          <t>Local ENT</t>
        </is>
      </c>
      <c r="C11" s="31">
        <f>SUMPRODUCT((Assignments!$E$2:$E$278=A11)/COUNTIFS(Assignments!$E$2:$E$278,Assignments!$E$2:$E$278,Assignments!$G$2:$G$278,Assignments!$G$2:$G$278))</f>
        <v/>
      </c>
      <c r="D11" s="31">
        <f>SUMPRODUCT((Assignments!$E$2:$E$278=A11)/COUNTIFS(Assignments!$E$2:$E$278,Assignments!$E$2:$E$278,Assignments!$F$2:$F$278,Assignments!$F$2:$F$278))</f>
        <v/>
      </c>
      <c r="E11" s="29">
        <f>COUNTIFS(Assignments!$E$2:$E$278,A11,Assignments!$N$2:$N$278,"Yes")</f>
        <v/>
      </c>
      <c r="F11" s="40">
        <f>SUMIFS(Assignments!$M$2:$M$278,Assignments!$E$2:$E$278,A11)</f>
        <v/>
      </c>
    </row>
    <row r="12" ht="15" customHeight="1" s="20">
      <c r="A12" s="29" t="inlineStr">
        <is>
          <t>Jason Spanier</t>
        </is>
      </c>
      <c r="B12" s="29" t="inlineStr">
        <is>
          <t>Local ENT</t>
        </is>
      </c>
      <c r="C12" s="31">
        <f>SUMPRODUCT((Assignments!$E$2:$E$278=A12)/COUNTIFS(Assignments!$E$2:$E$278,Assignments!$E$2:$E$278,Assignments!$G$2:$G$278,Assignments!$G$2:$G$278))</f>
        <v/>
      </c>
      <c r="D12" s="31">
        <f>SUMPRODUCT((Assignments!$E$2:$E$278=A12)/COUNTIFS(Assignments!$E$2:$E$278,Assignments!$E$2:$E$278,Assignments!$F$2:$F$278,Assignments!$F$2:$F$278))</f>
        <v/>
      </c>
      <c r="E12" s="29">
        <f>COUNTIFS(Assignments!$E$2:$E$278,A12,Assignments!$N$2:$N$278,"Yes")</f>
        <v/>
      </c>
      <c r="F12" s="40">
        <f>SUMIFS(Assignments!$M$2:$M$278,Assignments!$E$2:$E$278,A12)</f>
        <v/>
      </c>
    </row>
    <row r="13" ht="15" customHeight="1" s="20">
      <c r="A13" s="29" t="inlineStr">
        <is>
          <t>Jeff Gaisford</t>
        </is>
      </c>
      <c r="B13" s="29" t="inlineStr">
        <is>
          <t>Local ENT</t>
        </is>
      </c>
      <c r="C13" s="31">
        <f>SUMPRODUCT((Assignments!$E$2:$E$278=A13)/COUNTIFS(Assignments!$E$2:$E$278,Assignments!$E$2:$E$278,Assignments!$G$2:$G$278,Assignments!$G$2:$G$278))</f>
        <v/>
      </c>
      <c r="D13" s="31">
        <f>SUMPRODUCT((Assignments!$E$2:$E$278=A13)/COUNTIFS(Assignments!$E$2:$E$278,Assignments!$E$2:$E$278,Assignments!$F$2:$F$278,Assignments!$F$2:$F$278))</f>
        <v/>
      </c>
      <c r="E13" s="29">
        <f>COUNTIFS(Assignments!$E$2:$E$278,A13,Assignments!$N$2:$N$278,"Yes")</f>
        <v/>
      </c>
      <c r="F13" s="40">
        <f>SUMIFS(Assignments!$M$2:$M$278,Assignments!$E$2:$E$278,A13)</f>
        <v/>
      </c>
    </row>
    <row r="14" ht="15" customHeight="1" s="20">
      <c r="A14" s="29" t="inlineStr">
        <is>
          <t>Joel Parris</t>
        </is>
      </c>
      <c r="B14" s="29" t="inlineStr">
        <is>
          <t>Local ENT</t>
        </is>
      </c>
      <c r="C14" s="31">
        <f>SUMPRODUCT((Assignments!$E$2:$E$278=A14)/COUNTIFS(Assignments!$E$2:$E$278,Assignments!$E$2:$E$278,Assignments!$G$2:$G$278,Assignments!$G$2:$G$278))</f>
        <v/>
      </c>
      <c r="D14" s="31">
        <f>SUMPRODUCT((Assignments!$E$2:$E$278=A14)/COUNTIFS(Assignments!$E$2:$E$278,Assignments!$E$2:$E$278,Assignments!$F$2:$F$278,Assignments!$F$2:$F$278))</f>
        <v/>
      </c>
      <c r="E14" s="29">
        <f>COUNTIFS(Assignments!$E$2:$E$278,A14,Assignments!$N$2:$N$278,"Yes")</f>
        <v/>
      </c>
      <c r="F14" s="40">
        <f>SUMIFS(Assignments!$M$2:$M$278,Assignments!$E$2:$E$278,A14)</f>
        <v/>
      </c>
    </row>
    <row r="15" ht="15" customHeight="1" s="20">
      <c r="A15" s="29" t="inlineStr">
        <is>
          <t>Josh Gondwe</t>
        </is>
      </c>
      <c r="B15" s="29" t="inlineStr">
        <is>
          <t>Local ENT</t>
        </is>
      </c>
      <c r="C15" s="31">
        <f>SUMPRODUCT((Assignments!$E$2:$E$278=A15)/COUNTIFS(Assignments!$E$2:$E$278,Assignments!$E$2:$E$278,Assignments!$G$2:$G$278,Assignments!$G$2:$G$278))</f>
        <v/>
      </c>
      <c r="D15" s="31">
        <f>SUMPRODUCT((Assignments!$E$2:$E$278=A15)/COUNTIFS(Assignments!$E$2:$E$278,Assignments!$E$2:$E$278,Assignments!$F$2:$F$278,Assignments!$F$2:$F$278))</f>
        <v/>
      </c>
      <c r="E15" s="29">
        <f>COUNTIFS(Assignments!$E$2:$E$278,A15,Assignments!$N$2:$N$278,"Yes")</f>
        <v/>
      </c>
      <c r="F15" s="40">
        <f>SUMIFS(Assignments!$M$2:$M$278,Assignments!$E$2:$E$278,A15)</f>
        <v/>
      </c>
    </row>
    <row r="16" ht="15" customHeight="1" s="20">
      <c r="A16" s="29" t="inlineStr">
        <is>
          <t>Kent Hartsfield</t>
        </is>
      </c>
      <c r="B16" s="29" t="inlineStr">
        <is>
          <t>Local ENT</t>
        </is>
      </c>
      <c r="C16" s="31">
        <f>SUMPRODUCT((Assignments!$E$2:$E$278=A16)/COUNTIFS(Assignments!$E$2:$E$278,Assignments!$E$2:$E$278,Assignments!$G$2:$G$278,Assignments!$G$2:$G$278))</f>
        <v/>
      </c>
      <c r="D16" s="31">
        <f>SUMPRODUCT((Assignments!$E$2:$E$278=A16)/COUNTIFS(Assignments!$E$2:$E$278,Assignments!$E$2:$E$278,Assignments!$F$2:$F$278,Assignments!$F$2:$F$278))</f>
        <v/>
      </c>
      <c r="E16" s="29">
        <f>COUNTIFS(Assignments!$E$2:$E$278,A16,Assignments!$N$2:$N$278,"Yes")</f>
        <v/>
      </c>
      <c r="F16" s="40">
        <f>SUMIFS(Assignments!$M$2:$M$278,Assignments!$E$2:$E$278,A16)</f>
        <v/>
      </c>
    </row>
    <row r="17" ht="15" customHeight="1" s="20">
      <c r="A17" s="29" t="inlineStr">
        <is>
          <t>Pete Redondo</t>
        </is>
      </c>
      <c r="B17" s="29" t="inlineStr">
        <is>
          <t>Local ENT</t>
        </is>
      </c>
      <c r="C17" s="31">
        <f>SUMPRODUCT((Assignments!$E$2:$E$278=A17)/COUNTIFS(Assignments!$E$2:$E$278,Assignments!$E$2:$E$278,Assignments!$G$2:$G$278,Assignments!$G$2:$G$278))</f>
        <v/>
      </c>
      <c r="D17" s="31">
        <f>SUMPRODUCT((Assignments!$E$2:$E$278=A17)/COUNTIFS(Assignments!$E$2:$E$278,Assignments!$E$2:$E$278,Assignments!$F$2:$F$278,Assignments!$F$2:$F$278))</f>
        <v/>
      </c>
      <c r="E17" s="29">
        <f>COUNTIFS(Assignments!$E$2:$E$278,A17,Assignments!$N$2:$N$278,"Yes")</f>
        <v/>
      </c>
      <c r="F17" s="40">
        <f>SUMIFS(Assignments!$M$2:$M$278,Assignments!$E$2:$E$278,A17)</f>
        <v/>
      </c>
    </row>
    <row r="18" ht="15" customHeight="1" s="20">
      <c r="A18" s="29" t="inlineStr">
        <is>
          <t>Spencer Ferrell</t>
        </is>
      </c>
      <c r="B18" s="29" t="inlineStr">
        <is>
          <t>Local ENT</t>
        </is>
      </c>
      <c r="C18" s="31">
        <f>SUMPRODUCT((Assignments!$E$2:$E$278=A18)/COUNTIFS(Assignments!$E$2:$E$278,Assignments!$E$2:$E$278,Assignments!$G$2:$G$278,Assignments!$G$2:$G$278))</f>
        <v/>
      </c>
      <c r="D18" s="31">
        <f>SUMPRODUCT((Assignments!$E$2:$E$278=A18)/COUNTIFS(Assignments!$E$2:$E$278,Assignments!$E$2:$E$278,Assignments!$F$2:$F$278,Assignments!$F$2:$F$278))</f>
        <v/>
      </c>
      <c r="E18" s="29">
        <f>COUNTIFS(Assignments!$E$2:$E$278,A18,Assignments!$N$2:$N$278,"Yes")</f>
        <v/>
      </c>
      <c r="F18" s="40">
        <f>SUMIFS(Assignments!$M$2:$M$278,Assignments!$E$2:$E$278,A18)</f>
        <v/>
      </c>
    </row>
    <row r="19" ht="15" customHeight="1" s="20">
      <c r="A19" s="29" t="inlineStr">
        <is>
          <t>Stephen Allen</t>
        </is>
      </c>
      <c r="B19" s="29" t="inlineStr">
        <is>
          <t>Local ENT</t>
        </is>
      </c>
      <c r="C19" s="31">
        <f>SUMPRODUCT((Assignments!$E$2:$E$278=A19)/COUNTIFS(Assignments!$E$2:$E$278,Assignments!$E$2:$E$278,Assignments!$G$2:$G$278,Assignments!$G$2:$G$278))</f>
        <v/>
      </c>
      <c r="D19" s="31">
        <f>SUMPRODUCT((Assignments!$E$2:$E$278=A19)/COUNTIFS(Assignments!$E$2:$E$278,Assignments!$E$2:$E$278,Assignments!$F$2:$F$278,Assignments!$F$2:$F$278))</f>
        <v/>
      </c>
      <c r="E19" s="29">
        <f>COUNTIFS(Assignments!$E$2:$E$278,A19,Assignments!$N$2:$N$278,"Yes")</f>
        <v/>
      </c>
      <c r="F19" s="40">
        <f>SUMIFS(Assignments!$M$2:$M$278,Assignments!$E$2:$E$278,A19)</f>
        <v/>
      </c>
    </row>
    <row r="20" ht="15" customHeight="1" s="20">
      <c r="A20" s="29" t="inlineStr">
        <is>
          <t>Territory 4a (open)</t>
        </is>
      </c>
      <c r="B20" s="29" t="inlineStr">
        <is>
          <t>Local ENT</t>
        </is>
      </c>
      <c r="C20" s="31">
        <f>SUMPRODUCT((Assignments!$E$2:$E$278=A20)/COUNTIFS(Assignments!$E$2:$E$278,Assignments!$E$2:$E$278,Assignments!$G$2:$G$278,Assignments!$G$2:$G$278))</f>
        <v/>
      </c>
      <c r="D20" s="31">
        <f>SUMPRODUCT((Assignments!$E$2:$E$278=A20)/COUNTIFS(Assignments!$E$2:$E$278,Assignments!$E$2:$E$278,Assignments!$F$2:$F$278,Assignments!$F$2:$F$278))</f>
        <v/>
      </c>
      <c r="E20" s="29">
        <f>COUNTIFS(Assignments!$E$2:$E$278,A20,Assignments!$N$2:$N$278,"Yes")</f>
        <v/>
      </c>
      <c r="F20" s="40">
        <f>SUMIFS(Assignments!$M$2:$M$278,Assignments!$E$2:$E$278,A20)</f>
        <v/>
      </c>
    </row>
    <row r="21" ht="15" customHeight="1" s="20">
      <c r="A21" s="29" t="inlineStr">
        <is>
          <t>Tyler Carlson</t>
        </is>
      </c>
      <c r="B21" s="29" t="inlineStr">
        <is>
          <t>Local ENT</t>
        </is>
      </c>
      <c r="C21" s="31">
        <f>SUMPRODUCT((Assignments!$E$2:$E$278=A21)/COUNTIFS(Assignments!$E$2:$E$278,Assignments!$E$2:$E$278,Assignments!$G$2:$G$278,Assignments!$G$2:$G$278))</f>
        <v/>
      </c>
      <c r="D21" s="31">
        <f>SUMPRODUCT((Assignments!$E$2:$E$278=A21)/COUNTIFS(Assignments!$E$2:$E$278,Assignments!$E$2:$E$278,Assignments!$F$2:$F$278,Assignments!$F$2:$F$278))</f>
        <v/>
      </c>
      <c r="E21" s="29">
        <f>COUNTIFS(Assignments!$E$2:$E$278,A21,Assignments!$N$2:$N$278,"Yes")</f>
        <v/>
      </c>
      <c r="F21" s="40">
        <f>SUMIFS(Assignments!$M$2:$M$278,Assignments!$E$2:$E$278,A21)</f>
        <v/>
      </c>
    </row>
    <row r="22" ht="15" customHeight="1" s="20">
      <c r="A22" s="29" t="inlineStr">
        <is>
          <t>Not on either map</t>
        </is>
      </c>
      <c r="B22" s="29" t="inlineStr">
        <is>
          <t>Neither map</t>
        </is>
      </c>
      <c r="C22" s="31">
        <f>SUMPRODUCT((Assignments!$E$2:$E$278=A22)/COUNTIFS(Assignments!$E$2:$E$278,Assignments!$E$2:$E$278,Assignments!$G$2:$G$278,Assignments!$G$2:$G$278))</f>
        <v/>
      </c>
      <c r="D22" s="31">
        <f>SUMPRODUCT((Assignments!$E$2:$E$278=A22)/COUNTIFS(Assignments!$E$2:$E$278,Assignments!$E$2:$E$278,Assignments!$F$2:$F$278,Assignments!$F$2:$F$278))</f>
        <v/>
      </c>
      <c r="E22" s="29">
        <f>COUNTIFS(Assignments!$E$2:$E$278,A22,Assignments!$N$2:$N$278,"Yes")</f>
        <v/>
      </c>
      <c r="F22" s="40">
        <f>SUMIFS(Assignments!$M$2:$M$278,Assignments!$E$2:$E$278,A22)</f>
        <v/>
      </c>
    </row>
    <row r="23" ht="15" customHeight="1" s="20">
      <c r="A23" s="29" t="inlineStr">
        <is>
          <t>Bettsy Desjarlais</t>
        </is>
      </c>
      <c r="B23" s="29" t="inlineStr">
        <is>
          <t>State</t>
        </is>
      </c>
      <c r="C23" s="31">
        <f>SUMPRODUCT((Assignments!$E$2:$E$278=A23)/COUNTIFS(Assignments!$E$2:$E$278,Assignments!$E$2:$E$278,Assignments!$G$2:$G$278,Assignments!$G$2:$G$278))</f>
        <v/>
      </c>
      <c r="D23" s="31">
        <f>SUMPRODUCT((Assignments!$E$2:$E$278=A23)/COUNTIFS(Assignments!$E$2:$E$278,Assignments!$E$2:$E$278,Assignments!$F$2:$F$278,Assignments!$F$2:$F$278))</f>
        <v/>
      </c>
      <c r="E23" s="29">
        <f>COUNTIFS(Assignments!$E$2:$E$278,A23,Assignments!$N$2:$N$278,"Yes")</f>
        <v/>
      </c>
      <c r="F23" s="40">
        <f>SUMIFS(Assignments!$M$2:$M$278,Assignments!$E$2:$E$278,A23)</f>
        <v/>
      </c>
    </row>
    <row r="24" ht="15" customHeight="1" s="20">
      <c r="A24" s="29" t="inlineStr">
        <is>
          <t>Bill Pintsak</t>
        </is>
      </c>
      <c r="B24" s="29" t="inlineStr">
        <is>
          <t>State</t>
        </is>
      </c>
      <c r="C24" s="31">
        <f>SUMPRODUCT((Assignments!$E$2:$E$278=A24)/COUNTIFS(Assignments!$E$2:$E$278,Assignments!$E$2:$E$278,Assignments!$G$2:$G$278,Assignments!$G$2:$G$278))</f>
        <v/>
      </c>
      <c r="D24" s="31">
        <f>SUMPRODUCT((Assignments!$E$2:$E$278=A24)/COUNTIFS(Assignments!$E$2:$E$278,Assignments!$E$2:$E$278,Assignments!$F$2:$F$278,Assignments!$F$2:$F$278))</f>
        <v/>
      </c>
      <c r="E24" s="29">
        <f>COUNTIFS(Assignments!$E$2:$E$278,A24,Assignments!$N$2:$N$278,"Yes")</f>
        <v/>
      </c>
      <c r="F24" s="40">
        <f>SUMIFS(Assignments!$M$2:$M$278,Assignments!$E$2:$E$278,A24)</f>
        <v/>
      </c>
    </row>
    <row r="25" ht="15" customHeight="1" s="20">
      <c r="A25" s="29" t="inlineStr">
        <is>
          <t>Cameron Chadsey</t>
        </is>
      </c>
      <c r="B25" s="29" t="inlineStr">
        <is>
          <t>State</t>
        </is>
      </c>
      <c r="C25" s="31">
        <f>SUMPRODUCT((Assignments!$E$2:$E$278=A25)/COUNTIFS(Assignments!$E$2:$E$278,Assignments!$E$2:$E$278,Assignments!$G$2:$G$278,Assignments!$G$2:$G$278))</f>
        <v/>
      </c>
      <c r="D25" s="31">
        <f>SUMPRODUCT((Assignments!$E$2:$E$278=A25)/COUNTIFS(Assignments!$E$2:$E$278,Assignments!$E$2:$E$278,Assignments!$F$2:$F$278,Assignments!$F$2:$F$278))</f>
        <v/>
      </c>
      <c r="E25" s="29">
        <f>COUNTIFS(Assignments!$E$2:$E$278,A25,Assignments!$N$2:$N$278,"Yes")</f>
        <v/>
      </c>
      <c r="F25" s="40">
        <f>SUMIFS(Assignments!$M$2:$M$278,Assignments!$E$2:$E$278,A25)</f>
        <v/>
      </c>
    </row>
    <row r="26" ht="15" customHeight="1" s="20">
      <c r="A26" s="29" t="inlineStr">
        <is>
          <t>Che Bustos</t>
        </is>
      </c>
      <c r="B26" s="29" t="inlineStr">
        <is>
          <t>State</t>
        </is>
      </c>
      <c r="C26" s="31">
        <f>SUMPRODUCT((Assignments!$E$2:$E$278=A26)/COUNTIFS(Assignments!$E$2:$E$278,Assignments!$E$2:$E$278,Assignments!$G$2:$G$278,Assignments!$G$2:$G$278))</f>
        <v/>
      </c>
      <c r="D26" s="31">
        <f>SUMPRODUCT((Assignments!$E$2:$E$278=A26)/COUNTIFS(Assignments!$E$2:$E$278,Assignments!$E$2:$E$278,Assignments!$F$2:$F$278,Assignments!$F$2:$F$278))</f>
        <v/>
      </c>
      <c r="E26" s="29">
        <f>COUNTIFS(Assignments!$E$2:$E$278,A26,Assignments!$N$2:$N$278,"Yes")</f>
        <v/>
      </c>
      <c r="F26" s="40">
        <f>SUMIFS(Assignments!$M$2:$M$278,Assignments!$E$2:$E$278,A26)</f>
        <v/>
      </c>
    </row>
    <row r="27" ht="15" customHeight="1" s="20">
      <c r="A27" s="29" t="inlineStr">
        <is>
          <t>Demi Washington</t>
        </is>
      </c>
      <c r="B27" s="29" t="inlineStr">
        <is>
          <t>State</t>
        </is>
      </c>
      <c r="C27" s="31">
        <f>SUMPRODUCT((Assignments!$E$2:$E$278=A27)/COUNTIFS(Assignments!$E$2:$E$278,Assignments!$E$2:$E$278,Assignments!$G$2:$G$278,Assignments!$G$2:$G$278))</f>
        <v/>
      </c>
      <c r="D27" s="31">
        <f>SUMPRODUCT((Assignments!$E$2:$E$278=A27)/COUNTIFS(Assignments!$E$2:$E$278,Assignments!$E$2:$E$278,Assignments!$F$2:$F$278,Assignments!$F$2:$F$278))</f>
        <v/>
      </c>
      <c r="E27" s="29">
        <f>COUNTIFS(Assignments!$E$2:$E$278,A27,Assignments!$N$2:$N$278,"Yes")</f>
        <v/>
      </c>
      <c r="F27" s="40">
        <f>SUMIFS(Assignments!$M$2:$M$278,Assignments!$E$2:$E$278,A27)</f>
        <v/>
      </c>
    </row>
    <row r="28" ht="15" customHeight="1" s="20">
      <c r="A28" s="29" t="inlineStr">
        <is>
          <t>Grant Samson</t>
        </is>
      </c>
      <c r="B28" s="29" t="inlineStr">
        <is>
          <t>State</t>
        </is>
      </c>
      <c r="C28" s="31">
        <f>SUMPRODUCT((Assignments!$E$2:$E$278=A28)/COUNTIFS(Assignments!$E$2:$E$278,Assignments!$E$2:$E$278,Assignments!$G$2:$G$278,Assignments!$G$2:$G$278))</f>
        <v/>
      </c>
      <c r="D28" s="31">
        <f>SUMPRODUCT((Assignments!$E$2:$E$278=A28)/COUNTIFS(Assignments!$E$2:$E$278,Assignments!$E$2:$E$278,Assignments!$F$2:$F$278,Assignments!$F$2:$F$278))</f>
        <v/>
      </c>
      <c r="E28" s="29">
        <f>COUNTIFS(Assignments!$E$2:$E$278,A28,Assignments!$N$2:$N$278,"Yes")</f>
        <v/>
      </c>
      <c r="F28" s="40">
        <f>SUMIFS(Assignments!$M$2:$M$278,Assignments!$E$2:$E$278,A28)</f>
        <v/>
      </c>
    </row>
    <row r="29" ht="15" customHeight="1" s="20">
      <c r="A29" s="29" t="inlineStr">
        <is>
          <t>Joe Spair</t>
        </is>
      </c>
      <c r="B29" s="29" t="inlineStr">
        <is>
          <t>State</t>
        </is>
      </c>
      <c r="C29" s="31">
        <f>SUMPRODUCT((Assignments!$E$2:$E$278=A29)/COUNTIFS(Assignments!$E$2:$E$278,Assignments!$E$2:$E$278,Assignments!$G$2:$G$278,Assignments!$G$2:$G$278))</f>
        <v/>
      </c>
      <c r="D29" s="31">
        <f>SUMPRODUCT((Assignments!$E$2:$E$278=A29)/COUNTIFS(Assignments!$E$2:$E$278,Assignments!$E$2:$E$278,Assignments!$F$2:$F$278,Assignments!$F$2:$F$278))</f>
        <v/>
      </c>
      <c r="E29" s="29">
        <f>COUNTIFS(Assignments!$E$2:$E$278,A29,Assignments!$N$2:$N$278,"Yes")</f>
        <v/>
      </c>
      <c r="F29" s="40">
        <f>SUMIFS(Assignments!$M$2:$M$278,Assignments!$E$2:$E$278,A29)</f>
        <v/>
      </c>
    </row>
    <row r="30" ht="15" customHeight="1" s="20">
      <c r="A30" s="29" t="inlineStr">
        <is>
          <t>Matt Russell</t>
        </is>
      </c>
      <c r="B30" s="29" t="inlineStr">
        <is>
          <t>State</t>
        </is>
      </c>
      <c r="C30" s="31">
        <f>SUMPRODUCT((Assignments!$E$2:$E$278=A30)/COUNTIFS(Assignments!$E$2:$E$278,Assignments!$E$2:$E$278,Assignments!$G$2:$G$278,Assignments!$G$2:$G$278))</f>
        <v/>
      </c>
      <c r="D30" s="31">
        <f>SUMPRODUCT((Assignments!$E$2:$E$278=A30)/COUNTIFS(Assignments!$E$2:$E$278,Assignments!$E$2:$E$278,Assignments!$F$2:$F$278,Assignments!$F$2:$F$278))</f>
        <v/>
      </c>
      <c r="E30" s="29">
        <f>COUNTIFS(Assignments!$E$2:$E$278,A30,Assignments!$N$2:$N$278,"Yes")</f>
        <v/>
      </c>
      <c r="F30" s="40">
        <f>SUMIFS(Assignments!$M$2:$M$278,Assignments!$E$2:$E$278,A30)</f>
        <v/>
      </c>
    </row>
    <row r="31" ht="15" customHeight="1" s="20">
      <c r="A31" s="29" t="inlineStr">
        <is>
          <t>No State AE shown (IA)</t>
        </is>
      </c>
      <c r="B31" s="29" t="inlineStr">
        <is>
          <t>State</t>
        </is>
      </c>
      <c r="C31" s="31">
        <f>SUMPRODUCT((Assignments!$E$2:$E$278=A31)/COUNTIFS(Assignments!$E$2:$E$278,Assignments!$E$2:$E$278,Assignments!$G$2:$G$278,Assignments!$G$2:$G$278))</f>
        <v/>
      </c>
      <c r="D31" s="31">
        <f>SUMPRODUCT((Assignments!$E$2:$E$278=A31)/COUNTIFS(Assignments!$E$2:$E$278,Assignments!$E$2:$E$278,Assignments!$F$2:$F$278,Assignments!$F$2:$F$278))</f>
        <v/>
      </c>
      <c r="E31" s="29">
        <f>COUNTIFS(Assignments!$E$2:$E$278,A31,Assignments!$N$2:$N$278,"Yes")</f>
        <v/>
      </c>
      <c r="F31" s="40">
        <f>SUMIFS(Assignments!$M$2:$M$278,Assignments!$E$2:$E$278,A31)</f>
        <v/>
      </c>
    </row>
    <row r="32" ht="15" customHeight="1" s="20">
      <c r="A32" s="29" t="inlineStr">
        <is>
          <t>No State AE shown (ME)</t>
        </is>
      </c>
      <c r="B32" s="29" t="inlineStr">
        <is>
          <t>State</t>
        </is>
      </c>
      <c r="C32" s="31">
        <f>SUMPRODUCT((Assignments!$E$2:$E$278=A32)/COUNTIFS(Assignments!$E$2:$E$278,Assignments!$E$2:$E$278,Assignments!$G$2:$G$278,Assignments!$G$2:$G$278))</f>
        <v/>
      </c>
      <c r="D32" s="31">
        <f>SUMPRODUCT((Assignments!$E$2:$E$278=A32)/COUNTIFS(Assignments!$E$2:$E$278,Assignments!$E$2:$E$278,Assignments!$F$2:$F$278,Assignments!$F$2:$F$278))</f>
        <v/>
      </c>
      <c r="E32" s="29">
        <f>COUNTIFS(Assignments!$E$2:$E$278,A32,Assignments!$N$2:$N$278,"Yes")</f>
        <v/>
      </c>
      <c r="F32" s="40">
        <f>SUMIFS(Assignments!$M$2:$M$278,Assignments!$E$2:$E$278,A32)</f>
        <v/>
      </c>
    </row>
    <row r="33" ht="15" customHeight="1" s="20">
      <c r="A33" s="29" t="inlineStr">
        <is>
          <t>No State AE shown (TX)</t>
        </is>
      </c>
      <c r="B33" s="29" t="inlineStr">
        <is>
          <t>State</t>
        </is>
      </c>
      <c r="C33" s="31">
        <f>SUMPRODUCT((Assignments!$E$2:$E$278=A33)/COUNTIFS(Assignments!$E$2:$E$278,Assignments!$E$2:$E$278,Assignments!$G$2:$G$278,Assignments!$G$2:$G$278))</f>
        <v/>
      </c>
      <c r="D33" s="31">
        <f>SUMPRODUCT((Assignments!$E$2:$E$278=A33)/COUNTIFS(Assignments!$E$2:$E$278,Assignments!$E$2:$E$278,Assignments!$F$2:$F$278,Assignments!$F$2:$F$278))</f>
        <v/>
      </c>
      <c r="E33" s="29">
        <f>COUNTIFS(Assignments!$E$2:$E$278,A33,Assignments!$N$2:$N$278,"Yes")</f>
        <v/>
      </c>
      <c r="F33" s="40">
        <f>SUMIFS(Assignments!$M$2:$M$278,Assignments!$E$2:$E$278,A33)</f>
        <v/>
      </c>
    </row>
    <row r="34" ht="15" customHeight="1" s="20">
      <c r="A34" s="29" t="inlineStr">
        <is>
          <t>Sarah Duncan</t>
        </is>
      </c>
      <c r="B34" s="29" t="inlineStr">
        <is>
          <t>State</t>
        </is>
      </c>
      <c r="C34" s="31">
        <f>SUMPRODUCT((Assignments!$E$2:$E$278=A34)/COUNTIFS(Assignments!$E$2:$E$278,Assignments!$E$2:$E$278,Assignments!$G$2:$G$278,Assignments!$G$2:$G$278))</f>
        <v/>
      </c>
      <c r="D34" s="31">
        <f>SUMPRODUCT((Assignments!$E$2:$E$278=A34)/COUNTIFS(Assignments!$E$2:$E$278,Assignments!$E$2:$E$278,Assignments!$F$2:$F$278,Assignments!$F$2:$F$278))</f>
        <v/>
      </c>
      <c r="E34" s="29">
        <f>COUNTIFS(Assignments!$E$2:$E$278,A34,Assignments!$N$2:$N$278,"Yes")</f>
        <v/>
      </c>
      <c r="F34" s="40">
        <f>SUMIFS(Assignments!$M$2:$M$278,Assignments!$E$2:$E$278,A34)</f>
        <v/>
      </c>
    </row>
    <row r="35" ht="15" customHeight="1" s="20">
      <c r="A35" s="29" t="inlineStr">
        <is>
          <t>Scott Mark</t>
        </is>
      </c>
      <c r="B35" s="29" t="inlineStr">
        <is>
          <t>State</t>
        </is>
      </c>
      <c r="C35" s="31">
        <f>SUMPRODUCT((Assignments!$E$2:$E$278=A35)/COUNTIFS(Assignments!$E$2:$E$278,Assignments!$E$2:$E$278,Assignments!$G$2:$G$278,Assignments!$G$2:$G$278))</f>
        <v/>
      </c>
      <c r="D35" s="31">
        <f>SUMPRODUCT((Assignments!$E$2:$E$278=A35)/COUNTIFS(Assignments!$E$2:$E$278,Assignments!$E$2:$E$278,Assignments!$F$2:$F$278,Assignments!$F$2:$F$278))</f>
        <v/>
      </c>
      <c r="E35" s="29">
        <f>COUNTIFS(Assignments!$E$2:$E$278,A35,Assignments!$N$2:$N$278,"Yes")</f>
        <v/>
      </c>
      <c r="F35" s="40">
        <f>SUMIFS(Assignments!$M$2:$M$278,Assignments!$E$2:$E$278,A35)</f>
        <v/>
      </c>
    </row>
    <row r="36" ht="15" customHeight="1" s="20">
      <c r="A36" s="29" t="inlineStr">
        <is>
          <t>State AE – CA/HI</t>
        </is>
      </c>
      <c r="B36" s="29" t="inlineStr">
        <is>
          <t>State</t>
        </is>
      </c>
      <c r="C36" s="31">
        <f>SUMPRODUCT((Assignments!$E$2:$E$278=A36)/COUNTIFS(Assignments!$E$2:$E$278,Assignments!$E$2:$E$278,Assignments!$G$2:$G$278,Assignments!$G$2:$G$278))</f>
        <v/>
      </c>
      <c r="D36" s="31">
        <f>SUMPRODUCT((Assignments!$E$2:$E$278=A36)/COUNTIFS(Assignments!$E$2:$E$278,Assignments!$E$2:$E$278,Assignments!$F$2:$F$278,Assignments!$F$2:$F$278))</f>
        <v/>
      </c>
      <c r="E36" s="29">
        <f>COUNTIFS(Assignments!$E$2:$E$278,A36,Assignments!$N$2:$N$278,"Yes")</f>
        <v/>
      </c>
      <c r="F36" s="40">
        <f>SUMIFS(Assignments!$M$2:$M$278,Assignments!$E$2:$E$278,A36)</f>
        <v/>
      </c>
    </row>
    <row r="37" ht="15" customHeight="1" s="20">
      <c r="A37" s="29" t="inlineStr">
        <is>
          <t>State AE – KY/TN/AR</t>
        </is>
      </c>
      <c r="B37" s="29" t="inlineStr">
        <is>
          <t>State</t>
        </is>
      </c>
      <c r="C37" s="31">
        <f>SUMPRODUCT((Assignments!$E$2:$E$278=A37)/COUNTIFS(Assignments!$E$2:$E$278,Assignments!$E$2:$E$278,Assignments!$G$2:$G$278,Assignments!$G$2:$G$278))</f>
        <v/>
      </c>
      <c r="D37" s="31">
        <f>SUMPRODUCT((Assignments!$E$2:$E$278=A37)/COUNTIFS(Assignments!$E$2:$E$278,Assignments!$E$2:$E$278,Assignments!$F$2:$F$278,Assignments!$F$2:$F$278))</f>
        <v/>
      </c>
      <c r="E37" s="29">
        <f>COUNTIFS(Assignments!$E$2:$E$278,A37,Assignments!$N$2:$N$278,"Yes")</f>
        <v/>
      </c>
      <c r="F37" s="40">
        <f>SUMIFS(Assignments!$M$2:$M$278,Assignments!$E$2:$E$278,A37)</f>
        <v/>
      </c>
    </row>
    <row r="38" ht="15" customHeight="1" s="20">
      <c r="A38" s="29" t="inlineStr">
        <is>
          <t>Stephanie DelSignore</t>
        </is>
      </c>
      <c r="B38" s="29" t="inlineStr">
        <is>
          <t>State</t>
        </is>
      </c>
      <c r="C38" s="31">
        <f>SUMPRODUCT((Assignments!$E$2:$E$278=A38)/COUNTIFS(Assignments!$E$2:$E$278,Assignments!$E$2:$E$278,Assignments!$G$2:$G$278,Assignments!$G$2:$G$278))</f>
        <v/>
      </c>
      <c r="D38" s="31">
        <f>SUMPRODUCT((Assignments!$E$2:$E$278=A38)/COUNTIFS(Assignments!$E$2:$E$278,Assignments!$E$2:$E$278,Assignments!$F$2:$F$278,Assignments!$F$2:$F$278))</f>
        <v/>
      </c>
      <c r="E38" s="29">
        <f>COUNTIFS(Assignments!$E$2:$E$278,A38,Assignments!$N$2:$N$278,"Yes")</f>
        <v/>
      </c>
      <c r="F38" s="40">
        <f>SUMIFS(Assignments!$M$2:$M$278,Assignments!$E$2:$E$278,A38)</f>
        <v/>
      </c>
    </row>
    <row r="39" ht="15" customHeight="1" s="20">
      <c r="A39" s="29" t="inlineStr">
        <is>
          <t>Todd Bowers</t>
        </is>
      </c>
      <c r="B39" s="29" t="inlineStr">
        <is>
          <t>State</t>
        </is>
      </c>
      <c r="C39" s="31">
        <f>SUMPRODUCT((Assignments!$E$2:$E$278=A39)/COUNTIFS(Assignments!$E$2:$E$278,Assignments!$E$2:$E$278,Assignments!$G$2:$G$278,Assignments!$G$2:$G$278))</f>
        <v/>
      </c>
      <c r="D39" s="31">
        <f>SUMPRODUCT((Assignments!$E$2:$E$278=A39)/COUNTIFS(Assignments!$E$2:$E$278,Assignments!$E$2:$E$278,Assignments!$F$2:$F$278,Assignments!$F$2:$F$278))</f>
        <v/>
      </c>
      <c r="E39" s="29">
        <f>COUNTIFS(Assignments!$E$2:$E$278,A39,Assignments!$N$2:$N$278,"Yes")</f>
        <v/>
      </c>
      <c r="F39" s="40">
        <f>SUMIFS(Assignments!$M$2:$M$278,Assignments!$E$2:$E$278,A39)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20" min="1" max="1"/>
    <col width="11" customWidth="1" style="20" min="2" max="2"/>
    <col width="11" customWidth="1" style="20" min="3" max="3"/>
    <col width="10" customWidth="1" style="20" min="4" max="4"/>
    <col width="10" customWidth="1" style="20" min="5" max="5"/>
    <col width="10" customWidth="1" style="20" min="6" max="6"/>
    <col width="10" customWidth="1" style="20" min="7" max="7"/>
    <col width="10" customWidth="1" style="20" min="8" max="8"/>
    <col width="11" customWidth="1" style="20" min="9" max="9"/>
    <col width="11" customWidth="1" style="20" min="10" max="10"/>
    <col width="13" customWidth="1" style="20" min="11" max="11"/>
    <col width="11" customWidth="1" style="20" min="12" max="12"/>
    <col width="11" customWidth="1" style="20" min="13" max="13"/>
    <col width="15" customWidth="1" style="20" min="14" max="14"/>
    <col width="13" customWidth="1" style="20" min="15" max="15"/>
    <col width="13" customWidth="1" style="20" min="16" max="16"/>
    <col width="14" customWidth="1" style="20" min="17" max="17"/>
    <col width="11" customWidth="1" style="20" min="18" max="18"/>
    <col width="13" customWidth="1" style="20" min="19" max="19"/>
    <col width="11" customWidth="1" style="20" min="20" max="20"/>
    <col width="12" customWidth="1" style="20" min="21" max="21"/>
    <col width="10" customWidth="1" style="20" min="22" max="22"/>
    <col width="11" customWidth="1" style="20" min="23" max="23"/>
    <col width="11" customWidth="1" style="20" min="24" max="24"/>
    <col width="13" customWidth="1" style="20" min="25" max="25"/>
    <col width="13" customWidth="1" style="20" min="26" max="26"/>
  </cols>
  <sheetData>
    <row r="1">
      <c r="A1" s="28" t="inlineStr">
        <is>
          <t>State</t>
        </is>
      </c>
      <c r="B1" s="28" t="inlineStr">
        <is>
          <t>State-agency tier</t>
        </is>
      </c>
      <c r="C1" s="28" t="inlineStr">
        <is>
          <t>State-agency score</t>
        </is>
      </c>
      <c r="D1" s="28" t="inlineStr">
        <is>
          <t>State accts in book</t>
        </is>
      </c>
      <c r="E1" s="28" t="inlineStr">
        <is>
          <t>Local ENT tier</t>
        </is>
      </c>
      <c r="F1" s="28" t="inlineStr">
        <is>
          <t>Local ENT score</t>
        </is>
      </c>
      <c r="G1" s="28" t="inlineStr">
        <is>
          <t>Local accts in book</t>
        </is>
      </c>
      <c r="H1" s="28" t="inlineStr">
        <is>
          <t>Tiers disagree</t>
        </is>
      </c>
      <c r="I1" s="28" t="inlineStr">
        <is>
          <t>Jurisdictions 100k+</t>
        </is>
      </c>
      <c r="J1" s="28" t="inlineStr">
        <is>
          <t>Held in this book</t>
        </is>
      </c>
      <c r="K1" s="28" t="inlineStr">
        <is>
          <t>Fiscal posture</t>
        </is>
      </c>
      <c r="L1" s="28" t="inlineStr">
        <is>
          <t>Rainy day % of spend</t>
        </is>
      </c>
      <c r="M1" s="28" t="inlineStr">
        <is>
          <t>Budget cycle</t>
        </is>
      </c>
      <c r="N1" s="28" t="inlineStr">
        <is>
          <t>IT modernization signal</t>
        </is>
      </c>
      <c r="O1" s="28" t="inlineStr">
        <is>
          <t>Grant environment</t>
        </is>
      </c>
      <c r="P1" s="28" t="inlineStr">
        <is>
          <t>ARPA cliff exposure</t>
        </is>
      </c>
      <c r="Q1" s="28" t="inlineStr">
        <is>
          <t>Purchasing access</t>
        </is>
      </c>
      <c r="R1" s="28" t="inlineStr">
        <is>
          <t>League channel taken</t>
        </is>
      </c>
      <c r="S1" s="28" t="inlineStr">
        <is>
          <t>Local capacity</t>
        </is>
      </c>
      <c r="T1" s="28" t="inlineStr">
        <is>
          <t>Property tax cap</t>
        </is>
      </c>
      <c r="U1" s="28" t="inlineStr">
        <is>
          <t>Population</t>
        </is>
      </c>
      <c r="V1" s="28" t="inlineStr">
        <is>
          <t>Pop % chg</t>
        </is>
      </c>
      <c r="W1" s="28" t="inlineStr">
        <is>
          <t>Domestic mig / 1k</t>
        </is>
      </c>
      <c r="X1" s="28" t="inlineStr">
        <is>
          <t>Research confidence</t>
        </is>
      </c>
      <c r="Y1" s="28" t="inlineStr">
        <is>
          <t>State ARR</t>
        </is>
      </c>
      <c r="Z1" s="28" t="inlineStr">
        <is>
          <t>Local ARR</t>
        </is>
      </c>
    </row>
    <row r="2">
      <c r="A2" t="inlineStr">
        <is>
          <t>Texas</t>
        </is>
      </c>
      <c r="B2" t="inlineStr">
        <is>
          <t>A</t>
        </is>
      </c>
      <c r="C2" t="n">
        <v>82.40000000000001</v>
      </c>
      <c r="D2" t="n">
        <v>13</v>
      </c>
      <c r="E2" t="inlineStr">
        <is>
          <t>A</t>
        </is>
      </c>
      <c r="F2" t="n">
        <v>63.1</v>
      </c>
      <c r="G2" t="n">
        <v>10</v>
      </c>
      <c r="H2" t="inlineStr"/>
      <c r="I2" t="n">
        <v>87</v>
      </c>
      <c r="J2" t="n">
        <v>10</v>
      </c>
      <c r="K2" t="inlineStr">
        <is>
          <t>Stable</t>
        </is>
      </c>
      <c r="L2" t="n">
        <v>23.3</v>
      </c>
      <c r="M2" t="inlineStr">
        <is>
          <t>Biennial</t>
        </is>
      </c>
      <c r="N2" t="inlineStr">
        <is>
          <t>funded</t>
        </is>
      </c>
      <c r="O2" t="inlineStr">
        <is>
          <t>thin</t>
        </is>
      </c>
      <c r="P2" t="inlineStr">
        <is>
          <t>med</t>
        </is>
      </c>
      <c r="Q2" t="inlineStr">
        <is>
          <t>strong</t>
        </is>
      </c>
      <c r="R2" t="inlineStr"/>
      <c r="S2" t="inlineStr">
        <is>
          <t>typical</t>
        </is>
      </c>
      <c r="T2" t="inlineStr">
        <is>
          <t>yes</t>
        </is>
      </c>
      <c r="U2" s="41" t="n">
        <v>31709821</v>
      </c>
      <c r="V2" t="n">
        <v>1.25</v>
      </c>
      <c r="W2" t="n">
        <v>2.12</v>
      </c>
      <c r="X2" t="inlineStr">
        <is>
          <t>med</t>
        </is>
      </c>
      <c r="Y2" s="50" t="n">
        <v>2013624</v>
      </c>
      <c r="Z2" s="50" t="n">
        <v>2823033</v>
      </c>
    </row>
    <row r="3">
      <c r="A3" t="inlineStr">
        <is>
          <t>Virginia</t>
        </is>
      </c>
      <c r="B3" t="inlineStr">
        <is>
          <t>A</t>
        </is>
      </c>
      <c r="C3" t="n">
        <v>78.8</v>
      </c>
      <c r="D3" t="n">
        <v>1</v>
      </c>
      <c r="E3" t="inlineStr">
        <is>
          <t>A</t>
        </is>
      </c>
      <c r="F3" t="n">
        <v>63.9</v>
      </c>
      <c r="G3" t="n">
        <v>2</v>
      </c>
      <c r="H3" t="inlineStr"/>
      <c r="I3" t="n">
        <v>18</v>
      </c>
      <c r="J3" t="n">
        <v>2</v>
      </c>
      <c r="K3" t="inlineStr">
        <is>
          <t>Stable</t>
        </is>
      </c>
      <c r="L3" t="n">
        <v>12.4</v>
      </c>
      <c r="M3" t="inlineStr">
        <is>
          <t>Biennial</t>
        </is>
      </c>
      <c r="N3" t="inlineStr">
        <is>
          <t>funded</t>
        </is>
      </c>
      <c r="O3" t="inlineStr">
        <is>
          <t>rich</t>
        </is>
      </c>
      <c r="P3" t="inlineStr">
        <is>
          <t>med</t>
        </is>
      </c>
      <c r="Q3" t="inlineStr">
        <is>
          <t>strong</t>
        </is>
      </c>
      <c r="R3" t="inlineStr"/>
      <c r="S3" t="inlineStr">
        <is>
          <t>typical</t>
        </is>
      </c>
      <c r="T3" t="inlineStr"/>
      <c r="U3" s="41" t="n">
        <v>8880107</v>
      </c>
      <c r="V3" t="n">
        <v>0.6899999999999999</v>
      </c>
      <c r="W3" t="n">
        <v>0.71</v>
      </c>
      <c r="X3" t="inlineStr">
        <is>
          <t>high</t>
        </is>
      </c>
      <c r="Y3" s="50" t="n">
        <v>82354</v>
      </c>
      <c r="Z3" s="50" t="n">
        <v>831127</v>
      </c>
    </row>
    <row r="4">
      <c r="A4" t="inlineStr">
        <is>
          <t>Georgia</t>
        </is>
      </c>
      <c r="B4" t="inlineStr">
        <is>
          <t>A</t>
        </is>
      </c>
      <c r="C4" t="n">
        <v>77.5</v>
      </c>
      <c r="D4" t="n">
        <v>5</v>
      </c>
      <c r="E4" t="inlineStr">
        <is>
          <t>A</t>
        </is>
      </c>
      <c r="F4" t="n">
        <v>61.3</v>
      </c>
      <c r="G4" t="n">
        <v>2</v>
      </c>
      <c r="H4" t="inlineStr"/>
      <c r="I4" t="n">
        <v>36</v>
      </c>
      <c r="J4" t="n">
        <v>2</v>
      </c>
      <c r="K4" t="inlineStr">
        <is>
          <t>Stable</t>
        </is>
      </c>
      <c r="L4" t="n">
        <v>15.4</v>
      </c>
      <c r="M4" t="inlineStr">
        <is>
          <t>Annual</t>
        </is>
      </c>
      <c r="N4" t="inlineStr">
        <is>
          <t>funded</t>
        </is>
      </c>
      <c r="O4" t="inlineStr">
        <is>
          <t>moderate</t>
        </is>
      </c>
      <c r="P4" t="inlineStr">
        <is>
          <t>med</t>
        </is>
      </c>
      <c r="Q4" t="inlineStr">
        <is>
          <t>present</t>
        </is>
      </c>
      <c r="R4" t="inlineStr">
        <is>
          <t>yes</t>
        </is>
      </c>
      <c r="S4" t="inlineStr">
        <is>
          <t>typical</t>
        </is>
      </c>
      <c r="T4" t="inlineStr"/>
      <c r="U4" s="41" t="n">
        <v>11302748</v>
      </c>
      <c r="V4" t="n">
        <v>0.88</v>
      </c>
      <c r="W4" t="n">
        <v>2.42</v>
      </c>
      <c r="X4" t="inlineStr">
        <is>
          <t>low</t>
        </is>
      </c>
      <c r="Y4" s="50" t="n">
        <v>328232</v>
      </c>
      <c r="Z4" s="50" t="n">
        <v>406859</v>
      </c>
    </row>
    <row r="5">
      <c r="A5" t="inlineStr">
        <is>
          <t>Ohio</t>
        </is>
      </c>
      <c r="B5" t="inlineStr">
        <is>
          <t>A</t>
        </is>
      </c>
      <c r="C5" t="n">
        <v>74.7</v>
      </c>
      <c r="D5" t="n">
        <v>2</v>
      </c>
      <c r="E5" t="inlineStr">
        <is>
          <t>B</t>
        </is>
      </c>
      <c r="F5" t="n">
        <v>47</v>
      </c>
      <c r="G5" t="n">
        <v>3</v>
      </c>
      <c r="H5" t="inlineStr">
        <is>
          <t>yes</t>
        </is>
      </c>
      <c r="I5" t="n">
        <v>32</v>
      </c>
      <c r="J5" t="n">
        <v>3</v>
      </c>
      <c r="K5" t="inlineStr">
        <is>
          <t>Stable</t>
        </is>
      </c>
      <c r="L5" t="n">
        <v>12.6</v>
      </c>
      <c r="M5" t="inlineStr">
        <is>
          <t>Biennial</t>
        </is>
      </c>
      <c r="N5" t="inlineStr">
        <is>
          <t>funded</t>
        </is>
      </c>
      <c r="O5" t="inlineStr">
        <is>
          <t>moderate</t>
        </is>
      </c>
      <c r="P5" t="inlineStr">
        <is>
          <t>med</t>
        </is>
      </c>
      <c r="Q5" t="inlineStr">
        <is>
          <t>present</t>
        </is>
      </c>
      <c r="R5" t="inlineStr"/>
      <c r="S5" t="inlineStr">
        <is>
          <t>constrained</t>
        </is>
      </c>
      <c r="T5" t="inlineStr"/>
      <c r="U5" s="41" t="n">
        <v>11900510</v>
      </c>
      <c r="V5" t="n">
        <v>0.34</v>
      </c>
      <c r="W5" t="n">
        <v>1</v>
      </c>
      <c r="X5" t="inlineStr">
        <is>
          <t>med</t>
        </is>
      </c>
      <c r="Y5" s="50" t="n">
        <v>205769</v>
      </c>
      <c r="Z5" s="50" t="n">
        <v>1782145</v>
      </c>
    </row>
    <row r="6">
      <c r="A6" t="inlineStr">
        <is>
          <t>Pennsylvania</t>
        </is>
      </c>
      <c r="B6" t="inlineStr">
        <is>
          <t>A</t>
        </is>
      </c>
      <c r="C6" t="n">
        <v>72.59999999999999</v>
      </c>
      <c r="D6" t="n">
        <v>0</v>
      </c>
      <c r="E6" t="inlineStr">
        <is>
          <t>B</t>
        </is>
      </c>
      <c r="F6" t="n">
        <v>57.9</v>
      </c>
      <c r="G6" t="n">
        <v>3</v>
      </c>
      <c r="H6" t="inlineStr">
        <is>
          <t>yes</t>
        </is>
      </c>
      <c r="I6" t="n">
        <v>34</v>
      </c>
      <c r="J6" t="n">
        <v>3</v>
      </c>
      <c r="K6" t="inlineStr">
        <is>
          <t>Distressed</t>
        </is>
      </c>
      <c r="L6" t="n">
        <v>15.5</v>
      </c>
      <c r="M6" t="inlineStr">
        <is>
          <t>Annual</t>
        </is>
      </c>
      <c r="N6" t="inlineStr">
        <is>
          <t>funded</t>
        </is>
      </c>
      <c r="O6" t="inlineStr">
        <is>
          <t>moderate</t>
        </is>
      </c>
      <c r="P6" t="inlineStr">
        <is>
          <t>med</t>
        </is>
      </c>
      <c r="Q6" t="inlineStr">
        <is>
          <t>strong</t>
        </is>
      </c>
      <c r="R6" t="inlineStr"/>
      <c r="S6" t="inlineStr">
        <is>
          <t>constrained</t>
        </is>
      </c>
      <c r="T6" t="inlineStr"/>
      <c r="U6" s="41" t="n">
        <v>13059432</v>
      </c>
      <c r="V6" t="n">
        <v>0.1</v>
      </c>
      <c r="W6" t="n">
        <v>-0.22</v>
      </c>
      <c r="X6" t="inlineStr">
        <is>
          <t>med</t>
        </is>
      </c>
      <c r="Y6" s="50" t="n">
        <v>0</v>
      </c>
      <c r="Z6" s="50" t="n">
        <v>286025</v>
      </c>
    </row>
    <row r="7">
      <c r="A7" t="inlineStr">
        <is>
          <t>Washington</t>
        </is>
      </c>
      <c r="B7" t="inlineStr">
        <is>
          <t>D</t>
        </is>
      </c>
      <c r="C7" t="n">
        <v>33.6</v>
      </c>
      <c r="D7" t="n">
        <v>5</v>
      </c>
      <c r="E7" t="inlineStr">
        <is>
          <t>A</t>
        </is>
      </c>
      <c r="F7" t="n">
        <v>70.09999999999999</v>
      </c>
      <c r="G7" t="n">
        <v>0</v>
      </c>
      <c r="H7" t="inlineStr">
        <is>
          <t>yes</t>
        </is>
      </c>
      <c r="I7" t="n">
        <v>23</v>
      </c>
      <c r="J7" t="n">
        <v>0</v>
      </c>
      <c r="K7" t="inlineStr">
        <is>
          <t>Distressed</t>
        </is>
      </c>
      <c r="L7" t="n">
        <v>2.8</v>
      </c>
      <c r="M7" t="inlineStr">
        <is>
          <t>Biennial</t>
        </is>
      </c>
      <c r="N7" t="inlineStr">
        <is>
          <t>none</t>
        </is>
      </c>
      <c r="O7" t="inlineStr">
        <is>
          <t>rich</t>
        </is>
      </c>
      <c r="P7" t="inlineStr">
        <is>
          <t>med</t>
        </is>
      </c>
      <c r="Q7" t="inlineStr">
        <is>
          <t>present</t>
        </is>
      </c>
      <c r="R7" t="inlineStr"/>
      <c r="S7" t="inlineStr">
        <is>
          <t>typical</t>
        </is>
      </c>
      <c r="T7" t="inlineStr"/>
      <c r="U7" s="41" t="n">
        <v>8001020</v>
      </c>
      <c r="V7" t="n">
        <v>0.92</v>
      </c>
      <c r="W7" t="n">
        <v>1.15</v>
      </c>
      <c r="X7" t="inlineStr">
        <is>
          <t>med</t>
        </is>
      </c>
      <c r="Y7" s="50" t="n">
        <v>994013</v>
      </c>
      <c r="Z7" s="50" t="n">
        <v>0</v>
      </c>
    </row>
    <row r="8">
      <c r="A8" t="inlineStr">
        <is>
          <t>Minnesota</t>
        </is>
      </c>
      <c r="B8" t="inlineStr">
        <is>
          <t>A</t>
        </is>
      </c>
      <c r="C8" t="n">
        <v>67.40000000000001</v>
      </c>
      <c r="D8" t="n">
        <v>4</v>
      </c>
      <c r="E8" t="inlineStr">
        <is>
          <t>A</t>
        </is>
      </c>
      <c r="F8" t="n">
        <v>58.5</v>
      </c>
      <c r="G8" t="n">
        <v>2</v>
      </c>
      <c r="H8" t="inlineStr"/>
      <c r="I8" t="n">
        <v>15</v>
      </c>
      <c r="J8" t="n">
        <v>2</v>
      </c>
      <c r="K8" t="inlineStr">
        <is>
          <t>Constrained</t>
        </is>
      </c>
      <c r="L8" t="n">
        <v>10.6</v>
      </c>
      <c r="M8" t="inlineStr">
        <is>
          <t>Biennial</t>
        </is>
      </c>
      <c r="N8" t="inlineStr">
        <is>
          <t>funded</t>
        </is>
      </c>
      <c r="O8" t="inlineStr">
        <is>
          <t>rich</t>
        </is>
      </c>
      <c r="P8" t="inlineStr">
        <is>
          <t>med</t>
        </is>
      </c>
      <c r="Q8" t="inlineStr">
        <is>
          <t>strong</t>
        </is>
      </c>
      <c r="R8" t="inlineStr"/>
      <c r="S8" t="inlineStr">
        <is>
          <t>constrained</t>
        </is>
      </c>
      <c r="T8" t="inlineStr"/>
      <c r="U8" s="41" t="n">
        <v>5830405</v>
      </c>
      <c r="V8" t="n">
        <v>0.57</v>
      </c>
      <c r="W8" t="n">
        <v>1.42</v>
      </c>
      <c r="X8" t="inlineStr">
        <is>
          <t>med</t>
        </is>
      </c>
      <c r="Y8" s="50" t="n">
        <v>136946</v>
      </c>
      <c r="Z8" s="50" t="n">
        <v>403270</v>
      </c>
    </row>
    <row r="9">
      <c r="A9" t="inlineStr">
        <is>
          <t>New Mexico</t>
        </is>
      </c>
      <c r="B9" t="inlineStr">
        <is>
          <t>A</t>
        </is>
      </c>
      <c r="C9" t="n">
        <v>67</v>
      </c>
      <c r="D9" t="n">
        <v>7</v>
      </c>
      <c r="E9" t="inlineStr">
        <is>
          <t>B</t>
        </is>
      </c>
      <c r="F9" t="n">
        <v>53.4</v>
      </c>
      <c r="G9" t="n">
        <v>1</v>
      </c>
      <c r="H9" t="inlineStr">
        <is>
          <t>yes</t>
        </is>
      </c>
      <c r="I9" t="n">
        <v>8</v>
      </c>
      <c r="J9" t="n">
        <v>1</v>
      </c>
      <c r="K9" t="inlineStr">
        <is>
          <t>Expanding</t>
        </is>
      </c>
      <c r="L9" t="n">
        <v>24.1</v>
      </c>
      <c r="M9" t="inlineStr">
        <is>
          <t>Annual</t>
        </is>
      </c>
      <c r="N9" t="inlineStr">
        <is>
          <t>funded</t>
        </is>
      </c>
      <c r="O9" t="inlineStr">
        <is>
          <t>moderate</t>
        </is>
      </c>
      <c r="P9" t="inlineStr">
        <is>
          <t>med</t>
        </is>
      </c>
      <c r="Q9" t="inlineStr">
        <is>
          <t>present</t>
        </is>
      </c>
      <c r="R9" t="inlineStr"/>
      <c r="S9" t="inlineStr">
        <is>
          <t>typical</t>
        </is>
      </c>
      <c r="T9" t="inlineStr"/>
      <c r="U9" s="41" t="n">
        <v>2125498</v>
      </c>
      <c r="V9" t="n">
        <v>-0.06</v>
      </c>
      <c r="W9" t="n">
        <v>-1.07</v>
      </c>
      <c r="X9" t="inlineStr">
        <is>
          <t>low</t>
        </is>
      </c>
      <c r="Y9" s="50" t="n">
        <v>383693</v>
      </c>
      <c r="Z9" s="50" t="n">
        <v>90042</v>
      </c>
    </row>
    <row r="10">
      <c r="A10" t="inlineStr">
        <is>
          <t>Utah</t>
        </is>
      </c>
      <c r="B10" t="inlineStr">
        <is>
          <t>B</t>
        </is>
      </c>
      <c r="C10" t="n">
        <v>57.5</v>
      </c>
      <c r="D10" t="n">
        <v>1</v>
      </c>
      <c r="E10" t="inlineStr">
        <is>
          <t>A</t>
        </is>
      </c>
      <c r="F10" t="n">
        <v>66.59999999999999</v>
      </c>
      <c r="G10" t="n">
        <v>0</v>
      </c>
      <c r="H10" t="inlineStr">
        <is>
          <t>yes</t>
        </is>
      </c>
      <c r="I10" t="n">
        <v>11</v>
      </c>
      <c r="J10" t="n">
        <v>0</v>
      </c>
      <c r="K10" t="inlineStr">
        <is>
          <t>Stable</t>
        </is>
      </c>
      <c r="L10" t="n">
        <v>10.9</v>
      </c>
      <c r="M10" t="inlineStr">
        <is>
          <t>Annual</t>
        </is>
      </c>
      <c r="N10" t="inlineStr">
        <is>
          <t>none</t>
        </is>
      </c>
      <c r="O10" t="inlineStr">
        <is>
          <t>moderate</t>
        </is>
      </c>
      <c r="P10" t="inlineStr">
        <is>
          <t>low–med</t>
        </is>
      </c>
      <c r="Q10" t="inlineStr">
        <is>
          <t>present</t>
        </is>
      </c>
      <c r="R10" t="inlineStr"/>
      <c r="S10" t="inlineStr">
        <is>
          <t>typical</t>
        </is>
      </c>
      <c r="T10" t="inlineStr"/>
      <c r="U10" s="41" t="n">
        <v>3538904</v>
      </c>
      <c r="V10" t="n">
        <v>1.03</v>
      </c>
      <c r="W10" t="n">
        <v>0.9399999999999999</v>
      </c>
      <c r="X10" t="inlineStr">
        <is>
          <t>med</t>
        </is>
      </c>
      <c r="Y10" s="50" t="n">
        <v>95340</v>
      </c>
      <c r="Z10" s="50" t="n">
        <v>0</v>
      </c>
    </row>
    <row r="11">
      <c r="A11" t="inlineStr">
        <is>
          <t>Montana</t>
        </is>
      </c>
      <c r="B11" t="inlineStr">
        <is>
          <t>A</t>
        </is>
      </c>
      <c r="C11" t="n">
        <v>65.8</v>
      </c>
      <c r="D11" t="n">
        <v>0</v>
      </c>
      <c r="E11" t="inlineStr">
        <is>
          <t>B</t>
        </is>
      </c>
      <c r="F11" t="n">
        <v>48.3</v>
      </c>
      <c r="G11" t="n">
        <v>0</v>
      </c>
      <c r="H11" t="inlineStr">
        <is>
          <t>yes</t>
        </is>
      </c>
      <c r="I11" t="n">
        <v>5</v>
      </c>
      <c r="J11" t="n">
        <v>0</v>
      </c>
      <c r="K11" t="inlineStr">
        <is>
          <t>Stable</t>
        </is>
      </c>
      <c r="L11" t="n">
        <v>15.3</v>
      </c>
      <c r="M11" t="inlineStr">
        <is>
          <t>Biennial</t>
        </is>
      </c>
      <c r="N11" t="inlineStr">
        <is>
          <t>funded</t>
        </is>
      </c>
      <c r="O11" t="inlineStr">
        <is>
          <t>thin</t>
        </is>
      </c>
      <c r="P11" t="inlineStr">
        <is>
          <t>high</t>
        </is>
      </c>
      <c r="Q11" t="inlineStr">
        <is>
          <t>present</t>
        </is>
      </c>
      <c r="R11" t="inlineStr"/>
      <c r="S11" t="inlineStr">
        <is>
          <t>constrained</t>
        </is>
      </c>
      <c r="T11" t="inlineStr">
        <is>
          <t>yes</t>
        </is>
      </c>
      <c r="U11" s="41" t="n">
        <v>1144694</v>
      </c>
      <c r="V11" t="n">
        <v>0.63</v>
      </c>
      <c r="W11" t="n">
        <v>5.55</v>
      </c>
      <c r="X11" t="inlineStr">
        <is>
          <t>low</t>
        </is>
      </c>
      <c r="Y11" s="50" t="n">
        <v>0</v>
      </c>
      <c r="Z11" s="50" t="n">
        <v>0</v>
      </c>
    </row>
    <row r="12">
      <c r="A12" t="inlineStr">
        <is>
          <t>Massachusetts</t>
        </is>
      </c>
      <c r="B12" t="inlineStr">
        <is>
          <t>A</t>
        </is>
      </c>
      <c r="C12" t="n">
        <v>61.8</v>
      </c>
      <c r="D12" t="n">
        <v>1</v>
      </c>
      <c r="E12" t="inlineStr">
        <is>
          <t>A</t>
        </is>
      </c>
      <c r="F12" t="n">
        <v>65.3</v>
      </c>
      <c r="G12" t="n">
        <v>0</v>
      </c>
      <c r="H12" t="inlineStr"/>
      <c r="I12" t="n">
        <v>20</v>
      </c>
      <c r="J12" t="n">
        <v>0</v>
      </c>
      <c r="K12" t="inlineStr">
        <is>
          <t>Stable</t>
        </is>
      </c>
      <c r="L12" t="n">
        <v>15.8</v>
      </c>
      <c r="M12" t="inlineStr">
        <is>
          <t>Annual</t>
        </is>
      </c>
      <c r="N12" t="inlineStr">
        <is>
          <t>none</t>
        </is>
      </c>
      <c r="O12" t="inlineStr">
        <is>
          <t>rich</t>
        </is>
      </c>
      <c r="P12" t="inlineStr">
        <is>
          <t>low</t>
        </is>
      </c>
      <c r="Q12" t="inlineStr">
        <is>
          <t>present</t>
        </is>
      </c>
      <c r="R12" t="inlineStr"/>
      <c r="S12" t="inlineStr">
        <is>
          <t>typical</t>
        </is>
      </c>
      <c r="T12" t="inlineStr"/>
      <c r="U12" s="41" t="n">
        <v>7154084</v>
      </c>
      <c r="V12" t="n">
        <v>0.22</v>
      </c>
      <c r="W12" t="n">
        <v>-4.66</v>
      </c>
      <c r="X12" t="inlineStr">
        <is>
          <t>med</t>
        </is>
      </c>
      <c r="Y12" s="50" t="n">
        <v>214644</v>
      </c>
      <c r="Z12" s="50" t="n">
        <v>0</v>
      </c>
    </row>
    <row r="13">
      <c r="A13" t="inlineStr">
        <is>
          <t>Arkansas</t>
        </is>
      </c>
      <c r="B13" t="inlineStr">
        <is>
          <t>A</t>
        </is>
      </c>
      <c r="C13" t="n">
        <v>65.2</v>
      </c>
      <c r="D13" t="n">
        <v>0</v>
      </c>
      <c r="E13" t="inlineStr">
        <is>
          <t>B</t>
        </is>
      </c>
      <c r="F13" t="n">
        <v>55.3</v>
      </c>
      <c r="G13" t="n">
        <v>0</v>
      </c>
      <c r="H13" t="inlineStr">
        <is>
          <t>yes</t>
        </is>
      </c>
      <c r="I13" t="n">
        <v>9</v>
      </c>
      <c r="J13" t="n">
        <v>0</v>
      </c>
      <c r="K13" t="inlineStr">
        <is>
          <t>Expanding</t>
        </is>
      </c>
      <c r="L13" t="n">
        <v>27.9</v>
      </c>
      <c r="M13" t="inlineStr">
        <is>
          <t>Annual</t>
        </is>
      </c>
      <c r="N13" t="inlineStr">
        <is>
          <t>none</t>
        </is>
      </c>
      <c r="O13" t="inlineStr">
        <is>
          <t>thin</t>
        </is>
      </c>
      <c r="P13" t="inlineStr">
        <is>
          <t>med</t>
        </is>
      </c>
      <c r="Q13" t="inlineStr">
        <is>
          <t>coop_only</t>
        </is>
      </c>
      <c r="R13" t="inlineStr"/>
      <c r="S13" t="inlineStr">
        <is>
          <t>typical</t>
        </is>
      </c>
      <c r="T13" t="inlineStr"/>
      <c r="U13" s="41" t="n">
        <v>3114791</v>
      </c>
      <c r="V13" t="n">
        <v>0.6</v>
      </c>
      <c r="W13" t="n">
        <v>4.65</v>
      </c>
      <c r="X13" t="inlineStr">
        <is>
          <t>low</t>
        </is>
      </c>
      <c r="Y13" s="50" t="n">
        <v>0</v>
      </c>
      <c r="Z13" s="50" t="n">
        <v>0</v>
      </c>
    </row>
    <row r="14">
      <c r="A14" t="inlineStr">
        <is>
          <t>New York</t>
        </is>
      </c>
      <c r="B14" t="inlineStr">
        <is>
          <t>B</t>
        </is>
      </c>
      <c r="C14" t="n">
        <v>57</v>
      </c>
      <c r="D14" t="n">
        <v>2</v>
      </c>
      <c r="E14" t="inlineStr">
        <is>
          <t>A</t>
        </is>
      </c>
      <c r="F14" t="n">
        <v>64.90000000000001</v>
      </c>
      <c r="G14" t="n">
        <v>3</v>
      </c>
      <c r="H14" t="inlineStr">
        <is>
          <t>yes</t>
        </is>
      </c>
      <c r="I14" t="n">
        <v>34</v>
      </c>
      <c r="J14" t="n">
        <v>3</v>
      </c>
      <c r="K14" t="inlineStr">
        <is>
          <t>Constrained</t>
        </is>
      </c>
      <c r="L14" t="n">
        <v>7.7</v>
      </c>
      <c r="M14" t="inlineStr">
        <is>
          <t>Annual</t>
        </is>
      </c>
      <c r="N14" t="inlineStr">
        <is>
          <t>none</t>
        </is>
      </c>
      <c r="O14" t="inlineStr">
        <is>
          <t>rich</t>
        </is>
      </c>
      <c r="P14" t="inlineStr">
        <is>
          <t>low (state) / med (nyc &amp; locals)</t>
        </is>
      </c>
      <c r="Q14" t="inlineStr">
        <is>
          <t>strong</t>
        </is>
      </c>
      <c r="R14" t="inlineStr"/>
      <c r="S14" t="inlineStr">
        <is>
          <t>constrained</t>
        </is>
      </c>
      <c r="T14" t="inlineStr"/>
      <c r="U14" s="41" t="n">
        <v>20002427</v>
      </c>
      <c r="V14" t="n">
        <v>0.01</v>
      </c>
      <c r="W14" t="n">
        <v>-6.88</v>
      </c>
      <c r="X14" t="inlineStr">
        <is>
          <t>med</t>
        </is>
      </c>
      <c r="Y14" s="50" t="n">
        <v>1632532</v>
      </c>
      <c r="Z14" s="50" t="n">
        <v>226709</v>
      </c>
    </row>
    <row r="15">
      <c r="A15" t="inlineStr">
        <is>
          <t>North Carolina</t>
        </is>
      </c>
      <c r="B15" t="inlineStr">
        <is>
          <t>A</t>
        </is>
      </c>
      <c r="C15" t="n">
        <v>62.1</v>
      </c>
      <c r="D15" t="n">
        <v>0</v>
      </c>
      <c r="E15" t="inlineStr">
        <is>
          <t>A</t>
        </is>
      </c>
      <c r="F15" t="n">
        <v>64.90000000000001</v>
      </c>
      <c r="G15" t="n">
        <v>2</v>
      </c>
      <c r="H15" t="inlineStr"/>
      <c r="I15" t="n">
        <v>39</v>
      </c>
      <c r="J15" t="n">
        <v>2</v>
      </c>
      <c r="K15" t="inlineStr">
        <is>
          <t>Stable</t>
        </is>
      </c>
      <c r="L15" t="n">
        <v>11.1</v>
      </c>
      <c r="M15" t="inlineStr">
        <is>
          <t>Biennial</t>
        </is>
      </c>
      <c r="N15" t="inlineStr">
        <is>
          <t>none</t>
        </is>
      </c>
      <c r="O15" t="inlineStr">
        <is>
          <t>moderate</t>
        </is>
      </c>
      <c r="P15" t="inlineStr">
        <is>
          <t>med</t>
        </is>
      </c>
      <c r="Q15" t="inlineStr">
        <is>
          <t>present</t>
        </is>
      </c>
      <c r="R15" t="inlineStr">
        <is>
          <t>yes</t>
        </is>
      </c>
      <c r="S15" t="inlineStr">
        <is>
          <t>constrained</t>
        </is>
      </c>
      <c r="T15" t="inlineStr"/>
      <c r="U15" s="41" t="n">
        <v>11197968</v>
      </c>
      <c r="V15" t="n">
        <v>1.32</v>
      </c>
      <c r="W15" t="n">
        <v>7.51</v>
      </c>
      <c r="X15" t="inlineStr">
        <is>
          <t>low</t>
        </is>
      </c>
      <c r="Y15" s="50" t="n">
        <v>0</v>
      </c>
      <c r="Z15" s="50" t="n">
        <v>202481</v>
      </c>
    </row>
    <row r="16">
      <c r="A16" t="inlineStr">
        <is>
          <t>Indiana</t>
        </is>
      </c>
      <c r="B16" t="inlineStr">
        <is>
          <t>B</t>
        </is>
      </c>
      <c r="C16" t="n">
        <v>51.8</v>
      </c>
      <c r="D16" t="n">
        <v>0</v>
      </c>
      <c r="E16" t="inlineStr">
        <is>
          <t>A</t>
        </is>
      </c>
      <c r="F16" t="n">
        <v>63.7</v>
      </c>
      <c r="G16" t="n">
        <v>1</v>
      </c>
      <c r="H16" t="inlineStr">
        <is>
          <t>yes</t>
        </is>
      </c>
      <c r="I16" t="n">
        <v>24</v>
      </c>
      <c r="J16" t="n">
        <v>1</v>
      </c>
      <c r="K16" t="inlineStr">
        <is>
          <t>Constrained</t>
        </is>
      </c>
      <c r="L16" t="n">
        <v>9.5</v>
      </c>
      <c r="M16" t="inlineStr">
        <is>
          <t>Biennial</t>
        </is>
      </c>
      <c r="N16" t="inlineStr">
        <is>
          <t>none</t>
        </is>
      </c>
      <c r="O16" t="inlineStr">
        <is>
          <t>moderate</t>
        </is>
      </c>
      <c r="P16" t="inlineStr">
        <is>
          <t>med</t>
        </is>
      </c>
      <c r="Q16" t="inlineStr">
        <is>
          <t>present</t>
        </is>
      </c>
      <c r="R16" t="inlineStr"/>
      <c r="S16" t="inlineStr">
        <is>
          <t>typical</t>
        </is>
      </c>
      <c r="T16" t="inlineStr"/>
      <c r="U16" s="41" t="n">
        <v>6973333</v>
      </c>
      <c r="V16" t="n">
        <v>0.5600000000000001</v>
      </c>
      <c r="W16" t="n">
        <v>1.75</v>
      </c>
      <c r="X16" t="inlineStr">
        <is>
          <t>low</t>
        </is>
      </c>
      <c r="Y16" s="50" t="n">
        <v>0</v>
      </c>
      <c r="Z16" s="50" t="n">
        <v>70972</v>
      </c>
    </row>
    <row r="17">
      <c r="A17" t="inlineStr">
        <is>
          <t>Michigan</t>
        </is>
      </c>
      <c r="B17" t="inlineStr">
        <is>
          <t>A</t>
        </is>
      </c>
      <c r="C17" t="n">
        <v>62.7</v>
      </c>
      <c r="D17" t="n">
        <v>0</v>
      </c>
      <c r="E17" t="inlineStr">
        <is>
          <t>B</t>
        </is>
      </c>
      <c r="F17" t="n">
        <v>49.5</v>
      </c>
      <c r="G17" t="n">
        <v>1</v>
      </c>
      <c r="H17" t="inlineStr">
        <is>
          <t>yes</t>
        </is>
      </c>
      <c r="I17" t="n">
        <v>27</v>
      </c>
      <c r="J17" t="n">
        <v>1</v>
      </c>
      <c r="K17" t="inlineStr">
        <is>
          <t>Constrained</t>
        </is>
      </c>
      <c r="L17" t="n">
        <v>13.1</v>
      </c>
      <c r="M17" t="inlineStr">
        <is>
          <t>Annual</t>
        </is>
      </c>
      <c r="N17" t="inlineStr">
        <is>
          <t>none</t>
        </is>
      </c>
      <c r="O17" t="inlineStr">
        <is>
          <t>moderate</t>
        </is>
      </c>
      <c r="P17" t="inlineStr">
        <is>
          <t>high</t>
        </is>
      </c>
      <c r="Q17" t="inlineStr">
        <is>
          <t>strong</t>
        </is>
      </c>
      <c r="R17" t="inlineStr"/>
      <c r="S17" t="inlineStr">
        <is>
          <t>constrained</t>
        </is>
      </c>
      <c r="T17" t="inlineStr"/>
      <c r="U17" s="41" t="n">
        <v>10127884</v>
      </c>
      <c r="V17" t="n">
        <v>0.28</v>
      </c>
      <c r="W17" t="n">
        <v>0.18</v>
      </c>
      <c r="X17" t="inlineStr">
        <is>
          <t>med</t>
        </is>
      </c>
      <c r="Y17" s="50" t="n">
        <v>0</v>
      </c>
      <c r="Z17" s="50" t="n">
        <v>489446</v>
      </c>
    </row>
    <row r="18">
      <c r="A18" t="inlineStr">
        <is>
          <t>California</t>
        </is>
      </c>
      <c r="B18" t="inlineStr">
        <is>
          <t>B</t>
        </is>
      </c>
      <c r="C18" t="n">
        <v>54.4</v>
      </c>
      <c r="D18" t="n">
        <v>16</v>
      </c>
      <c r="E18" t="inlineStr">
        <is>
          <t>A</t>
        </is>
      </c>
      <c r="F18" t="n">
        <v>62.3</v>
      </c>
      <c r="G18" t="n">
        <v>10</v>
      </c>
      <c r="H18" t="inlineStr">
        <is>
          <t>yes</t>
        </is>
      </c>
      <c r="I18" t="n">
        <v>112</v>
      </c>
      <c r="J18" t="n">
        <v>10</v>
      </c>
      <c r="K18" t="inlineStr">
        <is>
          <t>Distressed</t>
        </is>
      </c>
      <c r="L18" t="n">
        <v>17.4</v>
      </c>
      <c r="M18" t="inlineStr">
        <is>
          <t>Annual</t>
        </is>
      </c>
      <c r="N18" t="inlineStr">
        <is>
          <t>neutral</t>
        </is>
      </c>
      <c r="O18" t="inlineStr">
        <is>
          <t>rich</t>
        </is>
      </c>
      <c r="P18" t="inlineStr">
        <is>
          <t>low–med</t>
        </is>
      </c>
      <c r="Q18" t="inlineStr">
        <is>
          <t>present</t>
        </is>
      </c>
      <c r="R18" t="inlineStr">
        <is>
          <t>yes</t>
        </is>
      </c>
      <c r="S18" t="inlineStr">
        <is>
          <t>typical</t>
        </is>
      </c>
      <c r="T18" t="inlineStr"/>
      <c r="U18" s="41" t="n">
        <v>39355309</v>
      </c>
      <c r="V18" t="n">
        <v>-0.02</v>
      </c>
      <c r="W18" t="n">
        <v>-5.82</v>
      </c>
      <c r="X18" t="inlineStr">
        <is>
          <t>med</t>
        </is>
      </c>
      <c r="Y18" s="50" t="n">
        <v>3303459</v>
      </c>
      <c r="Z18" s="50" t="n">
        <v>3907669</v>
      </c>
    </row>
    <row r="19">
      <c r="A19" t="inlineStr">
        <is>
          <t>Florida</t>
        </is>
      </c>
      <c r="B19" t="inlineStr">
        <is>
          <t>A</t>
        </is>
      </c>
      <c r="C19" t="n">
        <v>62</v>
      </c>
      <c r="D19" t="n">
        <v>4</v>
      </c>
      <c r="E19" t="inlineStr">
        <is>
          <t>B</t>
        </is>
      </c>
      <c r="F19" t="n">
        <v>57.8</v>
      </c>
      <c r="G19" t="n">
        <v>13</v>
      </c>
      <c r="H19" t="inlineStr">
        <is>
          <t>yes</t>
        </is>
      </c>
      <c r="I19" t="n">
        <v>63</v>
      </c>
      <c r="J19" t="n">
        <v>13</v>
      </c>
      <c r="K19" t="inlineStr">
        <is>
          <t>Constrained</t>
        </is>
      </c>
      <c r="L19" t="n">
        <v>8.6</v>
      </c>
      <c r="M19" t="inlineStr">
        <is>
          <t>Annual</t>
        </is>
      </c>
      <c r="N19" t="inlineStr">
        <is>
          <t>governance</t>
        </is>
      </c>
      <c r="O19" t="inlineStr">
        <is>
          <t>rich</t>
        </is>
      </c>
      <c r="P19" t="inlineStr">
        <is>
          <t>med</t>
        </is>
      </c>
      <c r="Q19" t="inlineStr">
        <is>
          <t>present</t>
        </is>
      </c>
      <c r="R19" t="inlineStr"/>
      <c r="S19" t="inlineStr">
        <is>
          <t>typical</t>
        </is>
      </c>
      <c r="T19" t="inlineStr">
        <is>
          <t>yes</t>
        </is>
      </c>
      <c r="U19" s="41" t="n">
        <v>23462518</v>
      </c>
      <c r="V19" t="n">
        <v>0.85</v>
      </c>
      <c r="W19" t="n">
        <v>0.96</v>
      </c>
      <c r="X19" t="inlineStr">
        <is>
          <t>med</t>
        </is>
      </c>
      <c r="Y19" s="50" t="n">
        <v>505348</v>
      </c>
      <c r="Z19" s="50" t="n">
        <v>2567452</v>
      </c>
    </row>
    <row r="20">
      <c r="A20" t="inlineStr">
        <is>
          <t>Idaho</t>
        </is>
      </c>
      <c r="B20" t="inlineStr">
        <is>
          <t>C</t>
        </is>
      </c>
      <c r="C20" t="n">
        <v>42.3</v>
      </c>
      <c r="D20" t="n">
        <v>1</v>
      </c>
      <c r="E20" t="inlineStr">
        <is>
          <t>A</t>
        </is>
      </c>
      <c r="F20" t="n">
        <v>59.7</v>
      </c>
      <c r="G20" t="n">
        <v>0</v>
      </c>
      <c r="H20" t="inlineStr">
        <is>
          <t>yes</t>
        </is>
      </c>
      <c r="I20" t="n">
        <v>7</v>
      </c>
      <c r="J20" t="n">
        <v>0</v>
      </c>
      <c r="K20" t="inlineStr">
        <is>
          <t>Constrained</t>
        </is>
      </c>
      <c r="L20" t="n">
        <v>21.3</v>
      </c>
      <c r="M20" t="inlineStr">
        <is>
          <t>Annual</t>
        </is>
      </c>
      <c r="N20" t="inlineStr">
        <is>
          <t>headwind</t>
        </is>
      </c>
      <c r="O20" t="inlineStr">
        <is>
          <t>thin</t>
        </is>
      </c>
      <c r="P20" t="inlineStr">
        <is>
          <t>med</t>
        </is>
      </c>
      <c r="Q20" t="inlineStr">
        <is>
          <t>coop_only</t>
        </is>
      </c>
      <c r="R20" t="inlineStr"/>
      <c r="S20" t="inlineStr">
        <is>
          <t>typical</t>
        </is>
      </c>
      <c r="T20" t="inlineStr"/>
      <c r="U20" s="41" t="n">
        <v>2029733</v>
      </c>
      <c r="V20" t="n">
        <v>1.44</v>
      </c>
      <c r="W20" t="n">
        <v>9.81</v>
      </c>
      <c r="X20" t="inlineStr">
        <is>
          <t>low</t>
        </is>
      </c>
      <c r="Y20" s="50" t="n">
        <v>88765</v>
      </c>
      <c r="Z20" s="50" t="n">
        <v>0</v>
      </c>
    </row>
    <row r="21">
      <c r="A21" t="inlineStr">
        <is>
          <t>Alabama</t>
        </is>
      </c>
      <c r="B21" t="inlineStr">
        <is>
          <t>A</t>
        </is>
      </c>
      <c r="C21" t="n">
        <v>58.4</v>
      </c>
      <c r="D21" t="n">
        <v>1</v>
      </c>
      <c r="E21" t="inlineStr">
        <is>
          <t>B</t>
        </is>
      </c>
      <c r="F21" t="n">
        <v>55.1</v>
      </c>
      <c r="G21" t="n">
        <v>1</v>
      </c>
      <c r="H21" t="inlineStr">
        <is>
          <t>yes</t>
        </is>
      </c>
      <c r="I21" t="n">
        <v>19</v>
      </c>
      <c r="J21" t="n">
        <v>1</v>
      </c>
      <c r="K21" t="inlineStr">
        <is>
          <t>Stable</t>
        </is>
      </c>
      <c r="L21" t="n">
        <v>19.5</v>
      </c>
      <c r="M21" t="inlineStr">
        <is>
          <t>Annual</t>
        </is>
      </c>
      <c r="N21" t="inlineStr">
        <is>
          <t>none</t>
        </is>
      </c>
      <c r="O21" t="inlineStr">
        <is>
          <t>moderate</t>
        </is>
      </c>
      <c r="P21" t="inlineStr">
        <is>
          <t>med</t>
        </is>
      </c>
      <c r="Q21" t="inlineStr">
        <is>
          <t>coop_only</t>
        </is>
      </c>
      <c r="R21" t="inlineStr">
        <is>
          <t>yes</t>
        </is>
      </c>
      <c r="S21" t="inlineStr">
        <is>
          <t>typical</t>
        </is>
      </c>
      <c r="T21" t="inlineStr"/>
      <c r="U21" s="41" t="n">
        <v>5193088</v>
      </c>
      <c r="V21" t="n">
        <v>0.58</v>
      </c>
      <c r="W21" t="n">
        <v>4.5</v>
      </c>
      <c r="X21" t="inlineStr">
        <is>
          <t>low</t>
        </is>
      </c>
      <c r="Y21" s="50" t="n">
        <v>75086</v>
      </c>
      <c r="Z21" s="50" t="n">
        <v>57780</v>
      </c>
    </row>
    <row r="22">
      <c r="A22" t="inlineStr">
        <is>
          <t>Wisconsin</t>
        </is>
      </c>
      <c r="B22" t="inlineStr">
        <is>
          <t>B</t>
        </is>
      </c>
      <c r="C22" t="n">
        <v>57.8</v>
      </c>
      <c r="D22" t="n">
        <v>2</v>
      </c>
      <c r="E22" t="inlineStr">
        <is>
          <t>C</t>
        </is>
      </c>
      <c r="F22" t="n">
        <v>44.7</v>
      </c>
      <c r="G22" t="n">
        <v>3</v>
      </c>
      <c r="H22" t="inlineStr">
        <is>
          <t>yes</t>
        </is>
      </c>
      <c r="I22" t="n">
        <v>19</v>
      </c>
      <c r="J22" t="n">
        <v>3</v>
      </c>
      <c r="K22" t="inlineStr">
        <is>
          <t>Stable</t>
        </is>
      </c>
      <c r="L22" t="n">
        <v>9.300000000000001</v>
      </c>
      <c r="M22" t="inlineStr">
        <is>
          <t>Biennial</t>
        </is>
      </c>
      <c r="N22" t="inlineStr">
        <is>
          <t>none</t>
        </is>
      </c>
      <c r="O22" t="inlineStr">
        <is>
          <t>moderate</t>
        </is>
      </c>
      <c r="P22" t="inlineStr">
        <is>
          <t>high</t>
        </is>
      </c>
      <c r="Q22" t="inlineStr">
        <is>
          <t>present</t>
        </is>
      </c>
      <c r="R22" t="inlineStr">
        <is>
          <t>yes</t>
        </is>
      </c>
      <c r="S22" t="inlineStr">
        <is>
          <t>constrained</t>
        </is>
      </c>
      <c r="T22" t="inlineStr"/>
      <c r="U22" s="41" t="n">
        <v>5972787</v>
      </c>
      <c r="V22" t="n">
        <v>0.26</v>
      </c>
      <c r="W22" t="n">
        <v>1.17</v>
      </c>
      <c r="X22" t="inlineStr">
        <is>
          <t>med</t>
        </is>
      </c>
      <c r="Y22" s="50" t="n">
        <v>53544</v>
      </c>
      <c r="Z22" s="50" t="n">
        <v>429986</v>
      </c>
    </row>
    <row r="23">
      <c r="A23" t="inlineStr">
        <is>
          <t>Oklahoma</t>
        </is>
      </c>
      <c r="B23" t="inlineStr">
        <is>
          <t>B</t>
        </is>
      </c>
      <c r="C23" t="n">
        <v>57.6</v>
      </c>
      <c r="D23" t="n">
        <v>2</v>
      </c>
      <c r="E23" t="inlineStr">
        <is>
          <t>B</t>
        </is>
      </c>
      <c r="F23" t="n">
        <v>52</v>
      </c>
      <c r="G23" t="n">
        <v>1</v>
      </c>
      <c r="H23" t="inlineStr"/>
      <c r="I23" t="n">
        <v>11</v>
      </c>
      <c r="J23" t="n">
        <v>1</v>
      </c>
      <c r="K23" t="inlineStr">
        <is>
          <t>Constrained</t>
        </is>
      </c>
      <c r="L23" t="n">
        <v>17.1</v>
      </c>
      <c r="M23" t="inlineStr">
        <is>
          <t>Annual</t>
        </is>
      </c>
      <c r="N23" t="inlineStr">
        <is>
          <t>none</t>
        </is>
      </c>
      <c r="O23" t="inlineStr">
        <is>
          <t>thin</t>
        </is>
      </c>
      <c r="P23" t="inlineStr">
        <is>
          <t>high</t>
        </is>
      </c>
      <c r="Q23" t="inlineStr">
        <is>
          <t>strong</t>
        </is>
      </c>
      <c r="R23" t="inlineStr"/>
      <c r="S23" t="inlineStr">
        <is>
          <t>typical</t>
        </is>
      </c>
      <c r="T23" t="inlineStr"/>
      <c r="U23" s="41" t="n">
        <v>4123288</v>
      </c>
      <c r="V23" t="n">
        <v>0.62</v>
      </c>
      <c r="W23" t="n">
        <v>3.51</v>
      </c>
      <c r="X23" t="inlineStr">
        <is>
          <t>med</t>
        </is>
      </c>
      <c r="Y23" s="50" t="n">
        <v>79354</v>
      </c>
      <c r="Z23" s="50" t="n">
        <v>300031</v>
      </c>
    </row>
    <row r="24">
      <c r="A24" t="inlineStr">
        <is>
          <t>Arizona</t>
        </is>
      </c>
      <c r="B24" t="inlineStr">
        <is>
          <t>C</t>
        </is>
      </c>
      <c r="C24" t="n">
        <v>46.6</v>
      </c>
      <c r="D24" t="n">
        <v>7</v>
      </c>
      <c r="E24" t="inlineStr">
        <is>
          <t>B</t>
        </is>
      </c>
      <c r="F24" t="n">
        <v>57.3</v>
      </c>
      <c r="G24" t="n">
        <v>3</v>
      </c>
      <c r="H24" t="inlineStr">
        <is>
          <t>yes</t>
        </is>
      </c>
      <c r="I24" t="n">
        <v>23</v>
      </c>
      <c r="J24" t="n">
        <v>3</v>
      </c>
      <c r="K24" t="inlineStr">
        <is>
          <t>Constrained</t>
        </is>
      </c>
      <c r="L24" t="n">
        <v>9.1</v>
      </c>
      <c r="M24" t="inlineStr">
        <is>
          <t>Annual</t>
        </is>
      </c>
      <c r="N24" t="inlineStr">
        <is>
          <t>headwind</t>
        </is>
      </c>
      <c r="O24" t="inlineStr">
        <is>
          <t>moderate</t>
        </is>
      </c>
      <c r="P24" t="inlineStr">
        <is>
          <t>med</t>
        </is>
      </c>
      <c r="Q24" t="inlineStr">
        <is>
          <t>present</t>
        </is>
      </c>
      <c r="R24" t="inlineStr"/>
      <c r="S24" t="inlineStr">
        <is>
          <t>typical</t>
        </is>
      </c>
      <c r="T24" t="inlineStr"/>
      <c r="U24" s="41" t="n">
        <v>7623818</v>
      </c>
      <c r="V24" t="n">
        <v>0.89</v>
      </c>
      <c r="W24" t="n">
        <v>4.08</v>
      </c>
      <c r="X24" t="inlineStr">
        <is>
          <t>low</t>
        </is>
      </c>
      <c r="Y24" s="50" t="n">
        <v>598447</v>
      </c>
      <c r="Z24" s="50" t="n">
        <v>366230</v>
      </c>
    </row>
    <row r="25">
      <c r="A25" t="inlineStr">
        <is>
          <t>Maryland</t>
        </is>
      </c>
      <c r="B25" t="inlineStr">
        <is>
          <t>B</t>
        </is>
      </c>
      <c r="C25" t="n">
        <v>52</v>
      </c>
      <c r="D25" t="n">
        <v>0</v>
      </c>
      <c r="E25" t="inlineStr">
        <is>
          <t>B</t>
        </is>
      </c>
      <c r="F25" t="n">
        <v>56.3</v>
      </c>
      <c r="G25" t="n">
        <v>2</v>
      </c>
      <c r="H25" t="inlineStr"/>
      <c r="I25" t="n">
        <v>15</v>
      </c>
      <c r="J25" t="n">
        <v>2</v>
      </c>
      <c r="K25" t="inlineStr">
        <is>
          <t>Distressed</t>
        </is>
      </c>
      <c r="L25" t="n">
        <v>7.8</v>
      </c>
      <c r="M25" t="inlineStr">
        <is>
          <t>Annual</t>
        </is>
      </c>
      <c r="N25" t="inlineStr">
        <is>
          <t>headwind</t>
        </is>
      </c>
      <c r="O25" t="inlineStr">
        <is>
          <t>rich</t>
        </is>
      </c>
      <c r="P25" t="inlineStr">
        <is>
          <t>med</t>
        </is>
      </c>
      <c r="Q25" t="inlineStr">
        <is>
          <t>strong</t>
        </is>
      </c>
      <c r="R25" t="inlineStr">
        <is>
          <t>yes</t>
        </is>
      </c>
      <c r="S25" t="inlineStr">
        <is>
          <t>typical</t>
        </is>
      </c>
      <c r="T25" t="inlineStr"/>
      <c r="U25" s="41" t="n">
        <v>6265347</v>
      </c>
      <c r="V25" t="n">
        <v>0.32</v>
      </c>
      <c r="W25" t="n">
        <v>-1.94</v>
      </c>
      <c r="X25" t="inlineStr">
        <is>
          <t>high</t>
        </is>
      </c>
      <c r="Y25" s="50" t="n">
        <v>0</v>
      </c>
      <c r="Z25" s="50" t="n">
        <v>256954</v>
      </c>
    </row>
    <row r="26">
      <c r="A26" t="inlineStr">
        <is>
          <t>Mississippi</t>
        </is>
      </c>
      <c r="B26" t="inlineStr">
        <is>
          <t>B</t>
        </is>
      </c>
      <c r="C26" t="n">
        <v>54.8</v>
      </c>
      <c r="D26" t="n">
        <v>0</v>
      </c>
      <c r="E26" t="inlineStr">
        <is>
          <t>C</t>
        </is>
      </c>
      <c r="F26" t="n">
        <v>46.9</v>
      </c>
      <c r="G26" t="n">
        <v>0</v>
      </c>
      <c r="H26" t="inlineStr">
        <is>
          <t>yes</t>
        </is>
      </c>
      <c r="I26" t="n">
        <v>7</v>
      </c>
      <c r="J26" t="n">
        <v>0</v>
      </c>
      <c r="K26" t="inlineStr">
        <is>
          <t>Stable</t>
        </is>
      </c>
      <c r="L26" t="n">
        <v>9.9</v>
      </c>
      <c r="M26" t="inlineStr">
        <is>
          <t>Annual</t>
        </is>
      </c>
      <c r="N26" t="inlineStr">
        <is>
          <t>none</t>
        </is>
      </c>
      <c r="O26" t="inlineStr">
        <is>
          <t>thin</t>
        </is>
      </c>
      <c r="P26" t="inlineStr">
        <is>
          <t>high</t>
        </is>
      </c>
      <c r="Q26" t="inlineStr">
        <is>
          <t>coop_only</t>
        </is>
      </c>
      <c r="R26" t="inlineStr"/>
      <c r="S26" t="inlineStr">
        <is>
          <t>typical</t>
        </is>
      </c>
      <c r="T26" t="inlineStr"/>
      <c r="U26" s="41" t="n">
        <v>2954160</v>
      </c>
      <c r="V26" t="n">
        <v>0.14</v>
      </c>
      <c r="W26" t="n">
        <v>-0.31</v>
      </c>
      <c r="X26" t="inlineStr">
        <is>
          <t>med</t>
        </is>
      </c>
      <c r="Y26" s="50" t="n">
        <v>0</v>
      </c>
      <c r="Z26" s="50" t="n">
        <v>0</v>
      </c>
    </row>
    <row r="27">
      <c r="A27" t="inlineStr">
        <is>
          <t>Delaware</t>
        </is>
      </c>
      <c r="B27" t="inlineStr">
        <is>
          <t>C</t>
        </is>
      </c>
      <c r="C27" t="n">
        <v>41</v>
      </c>
      <c r="D27" t="n">
        <v>0</v>
      </c>
      <c r="E27" t="inlineStr">
        <is>
          <t>B</t>
        </is>
      </c>
      <c r="F27" t="n">
        <v>54.2</v>
      </c>
      <c r="G27" t="n">
        <v>0</v>
      </c>
      <c r="H27" t="inlineStr">
        <is>
          <t>yes</t>
        </is>
      </c>
      <c r="I27" t="n">
        <v>3</v>
      </c>
      <c r="J27" t="n">
        <v>0</v>
      </c>
      <c r="K27" t="inlineStr">
        <is>
          <t>Constrained</t>
        </is>
      </c>
      <c r="L27" t="n">
        <v>5.1</v>
      </c>
      <c r="M27" t="inlineStr">
        <is>
          <t>Annual</t>
        </is>
      </c>
      <c r="N27" t="inlineStr">
        <is>
          <t>none</t>
        </is>
      </c>
      <c r="O27" t="inlineStr">
        <is>
          <t>moderate</t>
        </is>
      </c>
      <c r="P27" t="inlineStr">
        <is>
          <t>high</t>
        </is>
      </c>
      <c r="Q27" t="inlineStr">
        <is>
          <t>coop_only</t>
        </is>
      </c>
      <c r="R27" t="inlineStr"/>
      <c r="S27" t="inlineStr">
        <is>
          <t>typical</t>
        </is>
      </c>
      <c r="T27" t="inlineStr"/>
      <c r="U27" s="41" t="n">
        <v>1059952</v>
      </c>
      <c r="V27" t="n">
        <v>0.9399999999999999</v>
      </c>
      <c r="W27" t="n">
        <v>6.47</v>
      </c>
      <c r="X27" t="inlineStr">
        <is>
          <t>low</t>
        </is>
      </c>
      <c r="Y27" s="50" t="n">
        <v>0</v>
      </c>
      <c r="Z27" s="50" t="n">
        <v>0</v>
      </c>
    </row>
    <row r="28">
      <c r="A28" t="inlineStr">
        <is>
          <t>New Jersey</t>
        </is>
      </c>
      <c r="B28" t="inlineStr">
        <is>
          <t>C</t>
        </is>
      </c>
      <c r="C28" t="n">
        <v>42.5</v>
      </c>
      <c r="D28" t="n">
        <v>2</v>
      </c>
      <c r="E28" t="inlineStr">
        <is>
          <t>B</t>
        </is>
      </c>
      <c r="F28" t="n">
        <v>54</v>
      </c>
      <c r="G28" t="n">
        <v>1</v>
      </c>
      <c r="H28" t="inlineStr">
        <is>
          <t>yes</t>
        </is>
      </c>
      <c r="I28" t="n">
        <v>23</v>
      </c>
      <c r="J28" t="n">
        <v>1</v>
      </c>
      <c r="K28" t="inlineStr">
        <is>
          <t>Distressed</t>
        </is>
      </c>
      <c r="L28" t="n">
        <v>0</v>
      </c>
      <c r="M28" t="inlineStr">
        <is>
          <t>Annual</t>
        </is>
      </c>
      <c r="N28" t="inlineStr">
        <is>
          <t>none</t>
        </is>
      </c>
      <c r="O28" t="inlineStr">
        <is>
          <t>rich</t>
        </is>
      </c>
      <c r="P28" t="inlineStr">
        <is>
          <t>high</t>
        </is>
      </c>
      <c r="Q28" t="inlineStr">
        <is>
          <t>coop_only</t>
        </is>
      </c>
      <c r="R28" t="inlineStr"/>
      <c r="S28" t="inlineStr">
        <is>
          <t>typical</t>
        </is>
      </c>
      <c r="T28" t="inlineStr"/>
      <c r="U28" s="41" t="n">
        <v>9548215</v>
      </c>
      <c r="V28" t="n">
        <v>0.44</v>
      </c>
      <c r="W28" t="n">
        <v>-3.92</v>
      </c>
      <c r="X28" t="inlineStr">
        <is>
          <t>high</t>
        </is>
      </c>
      <c r="Y28" s="50" t="n">
        <v>227906</v>
      </c>
      <c r="Z28" s="50" t="n">
        <v>23334</v>
      </c>
    </row>
    <row r="29">
      <c r="A29" t="inlineStr">
        <is>
          <t>Nevada</t>
        </is>
      </c>
      <c r="B29" t="inlineStr">
        <is>
          <t>B</t>
        </is>
      </c>
      <c r="C29" t="n">
        <v>49.1</v>
      </c>
      <c r="D29" t="n">
        <v>3</v>
      </c>
      <c r="E29" t="inlineStr">
        <is>
          <t>B</t>
        </is>
      </c>
      <c r="F29" t="n">
        <v>53.3</v>
      </c>
      <c r="G29" t="n">
        <v>0</v>
      </c>
      <c r="H29" t="inlineStr"/>
      <c r="I29" t="n">
        <v>7</v>
      </c>
      <c r="J29" t="n">
        <v>0</v>
      </c>
      <c r="K29" t="inlineStr">
        <is>
          <t>Stable</t>
        </is>
      </c>
      <c r="L29" t="n">
        <v>18.5</v>
      </c>
      <c r="M29" t="inlineStr">
        <is>
          <t>Biennial</t>
        </is>
      </c>
      <c r="N29" t="inlineStr">
        <is>
          <t>none</t>
        </is>
      </c>
      <c r="O29" t="inlineStr">
        <is>
          <t>moderate</t>
        </is>
      </c>
      <c r="P29" t="inlineStr">
        <is>
          <t>high</t>
        </is>
      </c>
      <c r="Q29" t="inlineStr">
        <is>
          <t>coop_only</t>
        </is>
      </c>
      <c r="R29" t="inlineStr"/>
      <c r="S29" t="inlineStr">
        <is>
          <t>typical</t>
        </is>
      </c>
      <c r="T29" t="inlineStr"/>
      <c r="U29" s="41" t="n">
        <v>3282188</v>
      </c>
      <c r="V29" t="n">
        <v>0.88</v>
      </c>
      <c r="W29" t="n">
        <v>4.54</v>
      </c>
      <c r="X29" t="inlineStr">
        <is>
          <t>med</t>
        </is>
      </c>
      <c r="Y29" s="50" t="n">
        <v>163668</v>
      </c>
      <c r="Z29" s="50" t="n">
        <v>0</v>
      </c>
    </row>
    <row r="30">
      <c r="A30" t="inlineStr">
        <is>
          <t>Maine</t>
        </is>
      </c>
      <c r="B30" t="inlineStr">
        <is>
          <t>D</t>
        </is>
      </c>
      <c r="C30" t="n">
        <v>26.9</v>
      </c>
      <c r="D30" t="n">
        <v>2</v>
      </c>
      <c r="E30" t="inlineStr">
        <is>
          <t>B</t>
        </is>
      </c>
      <c r="F30" t="n">
        <v>52.9</v>
      </c>
      <c r="G30" t="n">
        <v>0</v>
      </c>
      <c r="H30" t="inlineStr">
        <is>
          <t>yes</t>
        </is>
      </c>
      <c r="I30" t="n">
        <v>5</v>
      </c>
      <c r="J30" t="n">
        <v>0</v>
      </c>
      <c r="K30" t="inlineStr">
        <is>
          <t>Constrained</t>
        </is>
      </c>
      <c r="L30" t="n">
        <v>13.2</v>
      </c>
      <c r="M30" t="inlineStr">
        <is>
          <t>Biennial</t>
        </is>
      </c>
      <c r="N30" t="inlineStr">
        <is>
          <t>none</t>
        </is>
      </c>
      <c r="O30" t="inlineStr">
        <is>
          <t>moderate</t>
        </is>
      </c>
      <c r="P30" t="inlineStr">
        <is>
          <t>high</t>
        </is>
      </c>
      <c r="Q30" t="inlineStr">
        <is>
          <t>coop_only</t>
        </is>
      </c>
      <c r="R30" t="inlineStr"/>
      <c r="S30" t="inlineStr">
        <is>
          <t>constrained</t>
        </is>
      </c>
      <c r="T30" t="inlineStr"/>
      <c r="U30" s="41" t="n">
        <v>1414874</v>
      </c>
      <c r="V30" t="n">
        <v>0.46</v>
      </c>
      <c r="W30" t="n">
        <v>5.23</v>
      </c>
      <c r="X30" t="inlineStr">
        <is>
          <t>med</t>
        </is>
      </c>
      <c r="Y30" s="50" t="n">
        <v>356387</v>
      </c>
      <c r="Z30" s="50" t="n">
        <v>0</v>
      </c>
    </row>
    <row r="31">
      <c r="A31" t="inlineStr">
        <is>
          <t>Illinois</t>
        </is>
      </c>
      <c r="B31" t="inlineStr">
        <is>
          <t>B</t>
        </is>
      </c>
      <c r="C31" t="n">
        <v>52.2</v>
      </c>
      <c r="D31" t="n">
        <v>1</v>
      </c>
      <c r="E31" t="inlineStr">
        <is>
          <t>C</t>
        </is>
      </c>
      <c r="F31" t="n">
        <v>40</v>
      </c>
      <c r="G31" t="n">
        <v>4</v>
      </c>
      <c r="H31" t="inlineStr">
        <is>
          <t>yes</t>
        </is>
      </c>
      <c r="I31" t="n">
        <v>27</v>
      </c>
      <c r="J31" t="n">
        <v>4</v>
      </c>
      <c r="K31" t="inlineStr">
        <is>
          <t>Constrained</t>
        </is>
      </c>
      <c r="L31" t="n">
        <v>4.5</v>
      </c>
      <c r="M31" t="inlineStr">
        <is>
          <t>Annual</t>
        </is>
      </c>
      <c r="N31" t="inlineStr">
        <is>
          <t>none</t>
        </is>
      </c>
      <c r="O31" t="inlineStr">
        <is>
          <t>moderate</t>
        </is>
      </c>
      <c r="P31" t="inlineStr">
        <is>
          <t>med</t>
        </is>
      </c>
      <c r="Q31" t="inlineStr">
        <is>
          <t>coop_only</t>
        </is>
      </c>
      <c r="R31" t="inlineStr"/>
      <c r="S31" t="inlineStr">
        <is>
          <t>constrained</t>
        </is>
      </c>
      <c r="T31" t="inlineStr"/>
      <c r="U31" s="41" t="n">
        <v>12719141</v>
      </c>
      <c r="V31" t="n">
        <v>0.13</v>
      </c>
      <c r="W31" t="n">
        <v>-3.15</v>
      </c>
      <c r="X31" t="inlineStr">
        <is>
          <t>med</t>
        </is>
      </c>
      <c r="Y31" s="50" t="n">
        <v>76184</v>
      </c>
      <c r="Z31" s="50" t="n">
        <v>1666026</v>
      </c>
    </row>
    <row r="32">
      <c r="A32" t="inlineStr">
        <is>
          <t>District of Columbia</t>
        </is>
      </c>
      <c r="B32" t="inlineStr">
        <is>
          <t>D</t>
        </is>
      </c>
      <c r="C32" t="n">
        <v>34.3</v>
      </c>
      <c r="D32" t="n">
        <v>0</v>
      </c>
      <c r="E32" t="inlineStr">
        <is>
          <t>B</t>
        </is>
      </c>
      <c r="F32" t="n">
        <v>51.7</v>
      </c>
      <c r="G32" t="n">
        <v>1</v>
      </c>
      <c r="H32" t="inlineStr">
        <is>
          <t>yes</t>
        </is>
      </c>
      <c r="I32" t="n">
        <v>1</v>
      </c>
      <c r="J32" t="n">
        <v>0</v>
      </c>
      <c r="K32" t="inlineStr">
        <is>
          <t>Distressed</t>
        </is>
      </c>
      <c r="L32" t="n">
        <v>8.199999999999999</v>
      </c>
      <c r="M32" t="inlineStr">
        <is>
          <t>Annual</t>
        </is>
      </c>
      <c r="N32" t="inlineStr">
        <is>
          <t>none</t>
        </is>
      </c>
      <c r="O32" t="inlineStr">
        <is>
          <t>moderate</t>
        </is>
      </c>
      <c r="P32" t="inlineStr">
        <is>
          <t>low</t>
        </is>
      </c>
      <c r="Q32" t="inlineStr">
        <is>
          <t>coop_only</t>
        </is>
      </c>
      <c r="R32" t="inlineStr"/>
      <c r="S32" t="inlineStr">
        <is>
          <t>typical</t>
        </is>
      </c>
      <c r="T32" t="inlineStr"/>
      <c r="U32" s="41" t="n">
        <v>693645</v>
      </c>
      <c r="V32" t="n">
        <v>0.34</v>
      </c>
      <c r="W32" t="n">
        <v>-5.95</v>
      </c>
      <c r="X32" t="inlineStr">
        <is>
          <t>med</t>
        </is>
      </c>
      <c r="Y32" s="50" t="n">
        <v>0</v>
      </c>
      <c r="Z32" s="50" t="n">
        <v>0</v>
      </c>
    </row>
    <row r="33">
      <c r="A33" t="inlineStr">
        <is>
          <t>Connecticut</t>
        </is>
      </c>
      <c r="B33" t="inlineStr">
        <is>
          <t>C</t>
        </is>
      </c>
      <c r="C33" t="n">
        <v>40.5</v>
      </c>
      <c r="D33" t="n">
        <v>4</v>
      </c>
      <c r="E33" t="inlineStr">
        <is>
          <t>B</t>
        </is>
      </c>
      <c r="F33" t="n">
        <v>51.4</v>
      </c>
      <c r="G33" t="n">
        <v>0</v>
      </c>
      <c r="H33" t="inlineStr">
        <is>
          <t>yes</t>
        </is>
      </c>
      <c r="I33" t="n">
        <v>13</v>
      </c>
      <c r="J33" t="n">
        <v>0</v>
      </c>
      <c r="K33" t="inlineStr">
        <is>
          <t>Stable</t>
        </is>
      </c>
      <c r="L33" t="n">
        <v>18.8</v>
      </c>
      <c r="M33" t="inlineStr">
        <is>
          <t>Biennial</t>
        </is>
      </c>
      <c r="N33" t="inlineStr">
        <is>
          <t>none</t>
        </is>
      </c>
      <c r="O33" t="inlineStr">
        <is>
          <t>moderate</t>
        </is>
      </c>
      <c r="P33" t="inlineStr">
        <is>
          <t>med</t>
        </is>
      </c>
      <c r="Q33" t="inlineStr">
        <is>
          <t>coop_only</t>
        </is>
      </c>
      <c r="R33" t="inlineStr">
        <is>
          <t>yes</t>
        </is>
      </c>
      <c r="S33" t="inlineStr">
        <is>
          <t>typical</t>
        </is>
      </c>
      <c r="T33" t="inlineStr"/>
      <c r="U33" s="41" t="n">
        <v>3688496</v>
      </c>
      <c r="V33" t="n">
        <v>0.38</v>
      </c>
      <c r="W33" t="n">
        <v>-1.61</v>
      </c>
      <c r="X33" t="inlineStr">
        <is>
          <t>med</t>
        </is>
      </c>
      <c r="Y33" s="50" t="n">
        <v>745164</v>
      </c>
      <c r="Z33" s="50" t="n">
        <v>0</v>
      </c>
    </row>
    <row r="34">
      <c r="A34" t="inlineStr">
        <is>
          <t>South Carolina</t>
        </is>
      </c>
      <c r="B34" t="inlineStr">
        <is>
          <t>B</t>
        </is>
      </c>
      <c r="C34" t="n">
        <v>51</v>
      </c>
      <c r="D34" t="n">
        <v>0</v>
      </c>
      <c r="E34" t="inlineStr">
        <is>
          <t>B</t>
        </is>
      </c>
      <c r="F34" t="n">
        <v>51.3</v>
      </c>
      <c r="G34" t="n">
        <v>1</v>
      </c>
      <c r="H34" t="inlineStr"/>
      <c r="I34" t="n">
        <v>19</v>
      </c>
      <c r="J34" t="n">
        <v>1</v>
      </c>
      <c r="K34" t="inlineStr">
        <is>
          <t>Constrained</t>
        </is>
      </c>
      <c r="L34" t="n">
        <v>13.8</v>
      </c>
      <c r="M34" t="inlineStr">
        <is>
          <t>Annual</t>
        </is>
      </c>
      <c r="N34" t="inlineStr">
        <is>
          <t>none</t>
        </is>
      </c>
      <c r="O34" t="inlineStr">
        <is>
          <t>thin</t>
        </is>
      </c>
      <c r="P34" t="inlineStr">
        <is>
          <t>high</t>
        </is>
      </c>
      <c r="Q34" t="inlineStr">
        <is>
          <t>coop_only</t>
        </is>
      </c>
      <c r="R34" t="inlineStr">
        <is>
          <t>yes</t>
        </is>
      </c>
      <c r="S34" t="inlineStr">
        <is>
          <t>typical</t>
        </is>
      </c>
      <c r="T34" t="inlineStr"/>
      <c r="U34" s="41" t="n">
        <v>5570274</v>
      </c>
      <c r="V34" t="n">
        <v>1.46</v>
      </c>
      <c r="W34" t="n">
        <v>11.96</v>
      </c>
      <c r="X34" t="inlineStr">
        <is>
          <t>med</t>
        </is>
      </c>
      <c r="Y34" s="50" t="n">
        <v>0</v>
      </c>
      <c r="Z34" s="50" t="n">
        <v>237874</v>
      </c>
    </row>
    <row r="35">
      <c r="A35" t="inlineStr">
        <is>
          <t>Iowa</t>
        </is>
      </c>
      <c r="B35" t="inlineStr">
        <is>
          <t>C</t>
        </is>
      </c>
      <c r="C35" t="n">
        <v>42.3</v>
      </c>
      <c r="D35" t="n">
        <v>1</v>
      </c>
      <c r="E35" t="inlineStr">
        <is>
          <t>B</t>
        </is>
      </c>
      <c r="F35" t="n">
        <v>50.3</v>
      </c>
      <c r="G35" t="n">
        <v>1</v>
      </c>
      <c r="H35" t="inlineStr">
        <is>
          <t>yes</t>
        </is>
      </c>
      <c r="I35" t="n">
        <v>11</v>
      </c>
      <c r="J35" t="n">
        <v>1</v>
      </c>
      <c r="K35" t="inlineStr">
        <is>
          <t>Constrained</t>
        </is>
      </c>
      <c r="L35" t="n">
        <v>9</v>
      </c>
      <c r="M35" t="inlineStr">
        <is>
          <t>Annual</t>
        </is>
      </c>
      <c r="N35" t="inlineStr">
        <is>
          <t>none</t>
        </is>
      </c>
      <c r="O35" t="inlineStr">
        <is>
          <t>moderate</t>
        </is>
      </c>
      <c r="P35" t="inlineStr">
        <is>
          <t>med</t>
        </is>
      </c>
      <c r="Q35" t="inlineStr">
        <is>
          <t>strong</t>
        </is>
      </c>
      <c r="R35" t="inlineStr">
        <is>
          <t>yes</t>
        </is>
      </c>
      <c r="S35" t="inlineStr">
        <is>
          <t>constrained</t>
        </is>
      </c>
      <c r="T35" t="inlineStr"/>
      <c r="U35" s="41" t="n">
        <v>3238387</v>
      </c>
      <c r="V35" t="n">
        <v>0.25</v>
      </c>
      <c r="W35" t="n">
        <v>-0.3</v>
      </c>
      <c r="X35" t="inlineStr">
        <is>
          <t>low</t>
        </is>
      </c>
      <c r="Y35" s="50" t="n">
        <v>511995</v>
      </c>
      <c r="Z35" s="50" t="n">
        <v>89731</v>
      </c>
    </row>
    <row r="36">
      <c r="A36" t="inlineStr">
        <is>
          <t>Colorado</t>
        </is>
      </c>
      <c r="B36" t="inlineStr">
        <is>
          <t>C</t>
        </is>
      </c>
      <c r="C36" t="n">
        <v>42.5</v>
      </c>
      <c r="D36" t="n">
        <v>4</v>
      </c>
      <c r="E36" t="inlineStr">
        <is>
          <t>B</t>
        </is>
      </c>
      <c r="F36" t="n">
        <v>50.1</v>
      </c>
      <c r="G36" t="n">
        <v>2</v>
      </c>
      <c r="H36" t="inlineStr">
        <is>
          <t>yes</t>
        </is>
      </c>
      <c r="I36" t="n">
        <v>24</v>
      </c>
      <c r="J36" t="n">
        <v>2</v>
      </c>
      <c r="K36" t="inlineStr">
        <is>
          <t>Distressed</t>
        </is>
      </c>
      <c r="L36" t="n">
        <v>9</v>
      </c>
      <c r="M36" t="inlineStr">
        <is>
          <t>Annual</t>
        </is>
      </c>
      <c r="N36" t="inlineStr">
        <is>
          <t>headwind</t>
        </is>
      </c>
      <c r="O36" t="inlineStr">
        <is>
          <t>rich</t>
        </is>
      </c>
      <c r="P36" t="inlineStr">
        <is>
          <t>med</t>
        </is>
      </c>
      <c r="Q36" t="inlineStr">
        <is>
          <t>present</t>
        </is>
      </c>
      <c r="R36" t="inlineStr"/>
      <c r="S36" t="inlineStr">
        <is>
          <t>typical</t>
        </is>
      </c>
      <c r="T36" t="inlineStr">
        <is>
          <t>yes</t>
        </is>
      </c>
      <c r="U36" s="41" t="n">
        <v>6012561</v>
      </c>
      <c r="V36" t="n">
        <v>0.4</v>
      </c>
      <c r="W36" t="n">
        <v>-2.01</v>
      </c>
      <c r="X36" t="inlineStr">
        <is>
          <t>high</t>
        </is>
      </c>
      <c r="Y36" s="50" t="n">
        <v>307639</v>
      </c>
      <c r="Z36" s="50" t="n">
        <v>702396</v>
      </c>
    </row>
    <row r="37">
      <c r="A37" t="inlineStr">
        <is>
          <t>South Dakota</t>
        </is>
      </c>
      <c r="B37" t="inlineStr">
        <is>
          <t>B</t>
        </is>
      </c>
      <c r="C37" t="n">
        <v>49.9</v>
      </c>
      <c r="D37" t="n">
        <v>0</v>
      </c>
      <c r="E37" t="inlineStr">
        <is>
          <t>B</t>
        </is>
      </c>
      <c r="F37" t="n">
        <v>48.8</v>
      </c>
      <c r="G37" t="n">
        <v>0</v>
      </c>
      <c r="H37" t="inlineStr"/>
      <c r="I37" t="n">
        <v>3</v>
      </c>
      <c r="J37" t="n">
        <v>0</v>
      </c>
      <c r="K37" t="inlineStr">
        <is>
          <t>Stable</t>
        </is>
      </c>
      <c r="L37" t="n">
        <v>12.4</v>
      </c>
      <c r="M37" t="inlineStr">
        <is>
          <t>Annual</t>
        </is>
      </c>
      <c r="N37" t="inlineStr">
        <is>
          <t>none</t>
        </is>
      </c>
      <c r="O37" t="inlineStr">
        <is>
          <t>thin</t>
        </is>
      </c>
      <c r="P37" t="inlineStr">
        <is>
          <t>high</t>
        </is>
      </c>
      <c r="Q37" t="inlineStr">
        <is>
          <t>coop_only</t>
        </is>
      </c>
      <c r="R37" t="inlineStr"/>
      <c r="S37" t="inlineStr">
        <is>
          <t>constrained</t>
        </is>
      </c>
      <c r="T37" t="inlineStr"/>
      <c r="U37" s="41" t="n">
        <v>935094</v>
      </c>
      <c r="V37" t="n">
        <v>0.86</v>
      </c>
      <c r="W37" t="n">
        <v>2.32</v>
      </c>
      <c r="X37" t="inlineStr">
        <is>
          <t>low</t>
        </is>
      </c>
      <c r="Y37" s="50" t="n">
        <v>0</v>
      </c>
      <c r="Z37" s="50" t="n">
        <v>0</v>
      </c>
    </row>
    <row r="38">
      <c r="A38" t="inlineStr">
        <is>
          <t>Kentucky</t>
        </is>
      </c>
      <c r="B38" t="inlineStr">
        <is>
          <t>D</t>
        </is>
      </c>
      <c r="C38" t="n">
        <v>34.7</v>
      </c>
      <c r="D38" t="n">
        <v>12</v>
      </c>
      <c r="E38" t="inlineStr">
        <is>
          <t>B</t>
        </is>
      </c>
      <c r="F38" t="n">
        <v>49.1</v>
      </c>
      <c r="G38" t="n">
        <v>1</v>
      </c>
      <c r="H38" t="inlineStr">
        <is>
          <t>yes</t>
        </is>
      </c>
      <c r="I38" t="n">
        <v>11</v>
      </c>
      <c r="J38" t="n">
        <v>1</v>
      </c>
      <c r="K38" t="inlineStr">
        <is>
          <t>Constrained</t>
        </is>
      </c>
      <c r="L38" t="n">
        <v>22.5</v>
      </c>
      <c r="M38" t="inlineStr">
        <is>
          <t>Biennial</t>
        </is>
      </c>
      <c r="N38" t="inlineStr">
        <is>
          <t>none</t>
        </is>
      </c>
      <c r="O38" t="inlineStr">
        <is>
          <t>moderate</t>
        </is>
      </c>
      <c r="P38" t="inlineStr">
        <is>
          <t>med</t>
        </is>
      </c>
      <c r="Q38" t="inlineStr">
        <is>
          <t>coop_only</t>
        </is>
      </c>
      <c r="R38" t="inlineStr"/>
      <c r="S38" t="inlineStr">
        <is>
          <t>typical</t>
        </is>
      </c>
      <c r="T38" t="inlineStr"/>
      <c r="U38" s="41" t="n">
        <v>4606864</v>
      </c>
      <c r="V38" t="n">
        <v>0.5</v>
      </c>
      <c r="W38" t="n">
        <v>1.58</v>
      </c>
      <c r="X38" t="inlineStr">
        <is>
          <t>low</t>
        </is>
      </c>
      <c r="Y38" s="50" t="n">
        <v>936944</v>
      </c>
      <c r="Z38" s="50" t="n">
        <v>72050</v>
      </c>
    </row>
    <row r="39">
      <c r="A39" t="inlineStr">
        <is>
          <t>Rhode Island</t>
        </is>
      </c>
      <c r="B39" t="inlineStr">
        <is>
          <t>C</t>
        </is>
      </c>
      <c r="C39" t="n">
        <v>41.3</v>
      </c>
      <c r="D39" t="n">
        <v>0</v>
      </c>
      <c r="E39" t="inlineStr">
        <is>
          <t>B</t>
        </is>
      </c>
      <c r="F39" t="n">
        <v>48.8</v>
      </c>
      <c r="G39" t="n">
        <v>0</v>
      </c>
      <c r="H39" t="inlineStr">
        <is>
          <t>yes</t>
        </is>
      </c>
      <c r="I39" t="n">
        <v>4</v>
      </c>
      <c r="J39" t="n">
        <v>0</v>
      </c>
      <c r="K39" t="inlineStr">
        <is>
          <t>Constrained</t>
        </is>
      </c>
      <c r="L39" t="n">
        <v>5.2</v>
      </c>
      <c r="M39" t="inlineStr">
        <is>
          <t>Annual</t>
        </is>
      </c>
      <c r="N39" t="inlineStr">
        <is>
          <t>none</t>
        </is>
      </c>
      <c r="O39" t="inlineStr">
        <is>
          <t>moderate</t>
        </is>
      </c>
      <c r="P39" t="inlineStr">
        <is>
          <t>high</t>
        </is>
      </c>
      <c r="Q39" t="inlineStr">
        <is>
          <t>coop_only</t>
        </is>
      </c>
      <c r="R39" t="inlineStr"/>
      <c r="S39" t="inlineStr">
        <is>
          <t>typical</t>
        </is>
      </c>
      <c r="T39" t="inlineStr"/>
      <c r="U39" s="41" t="n">
        <v>1114521</v>
      </c>
      <c r="V39" t="n">
        <v>0.37</v>
      </c>
      <c r="W39" t="n">
        <v>-1.39</v>
      </c>
      <c r="X39" t="inlineStr">
        <is>
          <t>low</t>
        </is>
      </c>
      <c r="Y39" s="50" t="n">
        <v>0</v>
      </c>
      <c r="Z39" s="50" t="n">
        <v>0</v>
      </c>
    </row>
    <row r="40">
      <c r="A40" t="inlineStr">
        <is>
          <t>Tennessee</t>
        </is>
      </c>
      <c r="B40" t="inlineStr">
        <is>
          <t>B</t>
        </is>
      </c>
      <c r="C40" t="n">
        <v>47.9</v>
      </c>
      <c r="D40" t="n">
        <v>1</v>
      </c>
      <c r="E40" t="inlineStr">
        <is>
          <t>B</t>
        </is>
      </c>
      <c r="F40" t="n">
        <v>48.7</v>
      </c>
      <c r="G40" t="n">
        <v>2</v>
      </c>
      <c r="H40" t="inlineStr"/>
      <c r="I40" t="n">
        <v>23</v>
      </c>
      <c r="J40" t="n">
        <v>2</v>
      </c>
      <c r="K40" t="inlineStr">
        <is>
          <t>Constrained</t>
        </is>
      </c>
      <c r="L40" t="n">
        <v>8.5</v>
      </c>
      <c r="M40" t="inlineStr">
        <is>
          <t>Annual</t>
        </is>
      </c>
      <c r="N40" t="inlineStr">
        <is>
          <t>none</t>
        </is>
      </c>
      <c r="O40" t="inlineStr">
        <is>
          <t>moderate</t>
        </is>
      </c>
      <c r="P40" t="inlineStr">
        <is>
          <t>high</t>
        </is>
      </c>
      <c r="Q40" t="inlineStr">
        <is>
          <t>coop_only</t>
        </is>
      </c>
      <c r="R40" t="inlineStr">
        <is>
          <t>yes</t>
        </is>
      </c>
      <c r="S40" t="inlineStr">
        <is>
          <t>typical</t>
        </is>
      </c>
      <c r="T40" t="inlineStr"/>
      <c r="U40" s="41" t="n">
        <v>7315076</v>
      </c>
      <c r="V40" t="n">
        <v>0.88</v>
      </c>
      <c r="W40" t="n">
        <v>5.79</v>
      </c>
      <c r="X40" t="inlineStr">
        <is>
          <t>med</t>
        </is>
      </c>
      <c r="Y40" s="50" t="n">
        <v>244500</v>
      </c>
      <c r="Z40" s="50" t="n">
        <v>667398</v>
      </c>
    </row>
    <row r="41">
      <c r="A41" t="inlineStr">
        <is>
          <t>Kansas</t>
        </is>
      </c>
      <c r="B41" t="inlineStr">
        <is>
          <t>C</t>
        </is>
      </c>
      <c r="C41" t="n">
        <v>44.1</v>
      </c>
      <c r="D41" t="n">
        <v>4</v>
      </c>
      <c r="E41" t="inlineStr">
        <is>
          <t>B</t>
        </is>
      </c>
      <c r="F41" t="n">
        <v>48.1</v>
      </c>
      <c r="G41" t="n">
        <v>0</v>
      </c>
      <c r="H41" t="inlineStr">
        <is>
          <t>yes</t>
        </is>
      </c>
      <c r="I41" t="n">
        <v>10</v>
      </c>
      <c r="J41" t="n">
        <v>0</v>
      </c>
      <c r="K41" t="inlineStr">
        <is>
          <t>Stable</t>
        </is>
      </c>
      <c r="L41" t="n">
        <v>18.1</v>
      </c>
      <c r="M41" t="inlineStr">
        <is>
          <t>Annual</t>
        </is>
      </c>
      <c r="N41" t="inlineStr">
        <is>
          <t>none</t>
        </is>
      </c>
      <c r="O41" t="inlineStr">
        <is>
          <t>thin</t>
        </is>
      </c>
      <c r="P41" t="inlineStr">
        <is>
          <t>high</t>
        </is>
      </c>
      <c r="Q41" t="inlineStr">
        <is>
          <t>coop_only</t>
        </is>
      </c>
      <c r="R41" t="inlineStr"/>
      <c r="S41" t="inlineStr">
        <is>
          <t>constrained</t>
        </is>
      </c>
      <c r="T41" t="inlineStr"/>
      <c r="U41" s="41" t="n">
        <v>2977220</v>
      </c>
      <c r="V41" t="n">
        <v>0.4</v>
      </c>
      <c r="W41" t="n">
        <v>-0.17</v>
      </c>
      <c r="X41" t="inlineStr">
        <is>
          <t>low</t>
        </is>
      </c>
      <c r="Y41" s="50" t="n">
        <v>402855</v>
      </c>
      <c r="Z41" s="50" t="n">
        <v>0</v>
      </c>
    </row>
    <row r="42">
      <c r="A42" t="inlineStr">
        <is>
          <t>New Hampshire</t>
        </is>
      </c>
      <c r="B42" t="inlineStr">
        <is>
          <t>C</t>
        </is>
      </c>
      <c r="C42" t="n">
        <v>40.4</v>
      </c>
      <c r="D42" t="n">
        <v>0</v>
      </c>
      <c r="E42" t="inlineStr">
        <is>
          <t>B</t>
        </is>
      </c>
      <c r="F42" t="n">
        <v>48</v>
      </c>
      <c r="G42" t="n">
        <v>0</v>
      </c>
      <c r="H42" t="inlineStr">
        <is>
          <t>yes</t>
        </is>
      </c>
      <c r="I42" t="n">
        <v>5</v>
      </c>
      <c r="J42" t="n">
        <v>0</v>
      </c>
      <c r="K42" t="inlineStr">
        <is>
          <t>Constrained</t>
        </is>
      </c>
      <c r="L42" t="n">
        <v>11.5</v>
      </c>
      <c r="M42" t="inlineStr">
        <is>
          <t>Biennial</t>
        </is>
      </c>
      <c r="N42" t="inlineStr">
        <is>
          <t>none</t>
        </is>
      </c>
      <c r="O42" t="inlineStr">
        <is>
          <t>thin</t>
        </is>
      </c>
      <c r="P42" t="inlineStr">
        <is>
          <t>high</t>
        </is>
      </c>
      <c r="Q42" t="inlineStr">
        <is>
          <t>coop_only</t>
        </is>
      </c>
      <c r="R42" t="inlineStr"/>
      <c r="S42" t="inlineStr">
        <is>
          <t>constrained</t>
        </is>
      </c>
      <c r="T42" t="inlineStr"/>
      <c r="U42" s="41" t="n">
        <v>1415342</v>
      </c>
      <c r="V42" t="n">
        <v>0.48</v>
      </c>
      <c r="W42" t="n">
        <v>4.63</v>
      </c>
      <c r="X42" t="inlineStr">
        <is>
          <t>med</t>
        </is>
      </c>
      <c r="Y42" s="50" t="n">
        <v>0</v>
      </c>
      <c r="Z42" s="50" t="n">
        <v>0</v>
      </c>
    </row>
    <row r="43">
      <c r="A43" t="inlineStr">
        <is>
          <t>West Virginia</t>
        </is>
      </c>
      <c r="B43" t="inlineStr">
        <is>
          <t>B</t>
        </is>
      </c>
      <c r="C43" t="n">
        <v>47.9</v>
      </c>
      <c r="D43" t="n">
        <v>0</v>
      </c>
      <c r="E43" t="inlineStr">
        <is>
          <t>C</t>
        </is>
      </c>
      <c r="F43" t="n">
        <v>43.2</v>
      </c>
      <c r="G43" t="n">
        <v>0</v>
      </c>
      <c r="H43" t="inlineStr">
        <is>
          <t>yes</t>
        </is>
      </c>
      <c r="I43" t="n">
        <v>3</v>
      </c>
      <c r="J43" t="n">
        <v>0</v>
      </c>
      <c r="K43" t="inlineStr">
        <is>
          <t>Constrained</t>
        </is>
      </c>
      <c r="L43" t="n">
        <v>23.5</v>
      </c>
      <c r="M43" t="inlineStr">
        <is>
          <t>Annual</t>
        </is>
      </c>
      <c r="N43" t="inlineStr">
        <is>
          <t>none</t>
        </is>
      </c>
      <c r="O43" t="inlineStr">
        <is>
          <t>thin</t>
        </is>
      </c>
      <c r="P43" t="inlineStr">
        <is>
          <t>high</t>
        </is>
      </c>
      <c r="Q43" t="inlineStr">
        <is>
          <t>coop_only</t>
        </is>
      </c>
      <c r="R43" t="inlineStr"/>
      <c r="S43" t="inlineStr">
        <is>
          <t>constrained</t>
        </is>
      </c>
      <c r="T43" t="inlineStr"/>
      <c r="U43" s="41" t="n">
        <v>1766147</v>
      </c>
      <c r="V43" t="n">
        <v>-0.07000000000000001</v>
      </c>
      <c r="W43" t="n">
        <v>3.63</v>
      </c>
      <c r="X43" t="inlineStr">
        <is>
          <t>med</t>
        </is>
      </c>
      <c r="Y43" s="50" t="n">
        <v>0</v>
      </c>
      <c r="Z43" s="50" t="n">
        <v>0</v>
      </c>
    </row>
    <row r="44">
      <c r="A44" t="inlineStr">
        <is>
          <t>Wyoming</t>
        </is>
      </c>
      <c r="B44" t="inlineStr">
        <is>
          <t>B</t>
        </is>
      </c>
      <c r="C44" t="n">
        <v>47.3</v>
      </c>
      <c r="D44" t="n">
        <v>0</v>
      </c>
      <c r="E44" t="inlineStr">
        <is>
          <t>C</t>
        </is>
      </c>
      <c r="F44" t="n">
        <v>43.1</v>
      </c>
      <c r="G44" t="n">
        <v>0</v>
      </c>
      <c r="H44" t="inlineStr">
        <is>
          <t>yes</t>
        </is>
      </c>
      <c r="I44" t="n">
        <v>1</v>
      </c>
      <c r="J44" t="n">
        <v>0</v>
      </c>
      <c r="K44" t="inlineStr">
        <is>
          <t>Stable</t>
        </is>
      </c>
      <c r="L44" t="n">
        <v>70.3</v>
      </c>
      <c r="M44" t="inlineStr">
        <is>
          <t>Biennial</t>
        </is>
      </c>
      <c r="N44" t="inlineStr">
        <is>
          <t>none</t>
        </is>
      </c>
      <c r="O44" t="inlineStr">
        <is>
          <t>thin</t>
        </is>
      </c>
      <c r="P44" t="inlineStr">
        <is>
          <t>high</t>
        </is>
      </c>
      <c r="Q44" t="inlineStr">
        <is>
          <t>coop_only</t>
        </is>
      </c>
      <c r="R44" t="inlineStr"/>
      <c r="S44" t="inlineStr">
        <is>
          <t>constrained</t>
        </is>
      </c>
      <c r="T44" t="inlineStr"/>
      <c r="U44" s="41" t="n">
        <v>588753</v>
      </c>
      <c r="V44" t="n">
        <v>0.35</v>
      </c>
      <c r="W44" t="n">
        <v>2.5</v>
      </c>
      <c r="X44" t="inlineStr">
        <is>
          <t>low</t>
        </is>
      </c>
      <c r="Y44" s="50" t="n">
        <v>0</v>
      </c>
      <c r="Z44" s="50" t="n">
        <v>0</v>
      </c>
    </row>
    <row r="45">
      <c r="A45" t="inlineStr">
        <is>
          <t>Oregon</t>
        </is>
      </c>
      <c r="B45" t="inlineStr">
        <is>
          <t>C</t>
        </is>
      </c>
      <c r="C45" t="n">
        <v>42</v>
      </c>
      <c r="D45" t="n">
        <v>4</v>
      </c>
      <c r="E45" t="inlineStr">
        <is>
          <t>C</t>
        </is>
      </c>
      <c r="F45" t="n">
        <v>46</v>
      </c>
      <c r="G45" t="n">
        <v>2</v>
      </c>
      <c r="H45" t="inlineStr"/>
      <c r="I45" t="n">
        <v>16</v>
      </c>
      <c r="J45" t="n">
        <v>2</v>
      </c>
      <c r="K45" t="inlineStr">
        <is>
          <t>Constrained</t>
        </is>
      </c>
      <c r="L45" t="n">
        <v>17.1</v>
      </c>
      <c r="M45" t="inlineStr">
        <is>
          <t>Biennial</t>
        </is>
      </c>
      <c r="N45" t="inlineStr">
        <is>
          <t>none</t>
        </is>
      </c>
      <c r="O45" t="inlineStr">
        <is>
          <t>moderate</t>
        </is>
      </c>
      <c r="P45" t="inlineStr">
        <is>
          <t>med</t>
        </is>
      </c>
      <c r="Q45" t="inlineStr">
        <is>
          <t>coop_only</t>
        </is>
      </c>
      <c r="R45" t="inlineStr"/>
      <c r="S45" t="inlineStr">
        <is>
          <t>typical</t>
        </is>
      </c>
      <c r="T45" t="inlineStr"/>
      <c r="U45" s="41" t="n">
        <v>4273586</v>
      </c>
      <c r="V45" t="n">
        <v>0.19</v>
      </c>
      <c r="W45" t="n">
        <v>0.52</v>
      </c>
      <c r="X45" t="inlineStr">
        <is>
          <t>low</t>
        </is>
      </c>
      <c r="Y45" s="50" t="n">
        <v>231897</v>
      </c>
      <c r="Z45" s="50" t="n">
        <v>410694</v>
      </c>
    </row>
    <row r="46">
      <c r="A46" t="inlineStr">
        <is>
          <t>Louisiana</t>
        </is>
      </c>
      <c r="B46" t="inlineStr">
        <is>
          <t>C</t>
        </is>
      </c>
      <c r="C46" t="n">
        <v>45.9</v>
      </c>
      <c r="D46" t="n">
        <v>3</v>
      </c>
      <c r="E46" t="inlineStr">
        <is>
          <t>C</t>
        </is>
      </c>
      <c r="F46" t="n">
        <v>40.6</v>
      </c>
      <c r="G46" t="n">
        <v>3</v>
      </c>
      <c r="H46" t="inlineStr"/>
      <c r="I46" t="n">
        <v>18</v>
      </c>
      <c r="J46" t="n">
        <v>3</v>
      </c>
      <c r="K46" t="inlineStr">
        <is>
          <t>Constrained</t>
        </is>
      </c>
      <c r="L46" t="n">
        <v>9.800000000000001</v>
      </c>
      <c r="M46" t="inlineStr">
        <is>
          <t>Annual</t>
        </is>
      </c>
      <c r="N46" t="inlineStr">
        <is>
          <t>none</t>
        </is>
      </c>
      <c r="O46" t="inlineStr">
        <is>
          <t>moderate</t>
        </is>
      </c>
      <c r="P46" t="inlineStr">
        <is>
          <t>high</t>
        </is>
      </c>
      <c r="Q46" t="inlineStr">
        <is>
          <t>coop_only</t>
        </is>
      </c>
      <c r="R46" t="inlineStr"/>
      <c r="S46" t="inlineStr">
        <is>
          <t>typical</t>
        </is>
      </c>
      <c r="T46" t="inlineStr"/>
      <c r="U46" s="41" t="n">
        <v>4618189</v>
      </c>
      <c r="V46" t="n">
        <v>0.07000000000000001</v>
      </c>
      <c r="W46" t="n">
        <v>-3.12</v>
      </c>
      <c r="X46" t="inlineStr">
        <is>
          <t>low</t>
        </is>
      </c>
      <c r="Y46" s="50" t="n">
        <v>158911</v>
      </c>
      <c r="Z46" s="50" t="n">
        <v>569777</v>
      </c>
    </row>
    <row r="47">
      <c r="A47" t="inlineStr">
        <is>
          <t>Hawai'i</t>
        </is>
      </c>
      <c r="B47" t="inlineStr">
        <is>
          <t>C</t>
        </is>
      </c>
      <c r="C47" t="n">
        <v>41.2</v>
      </c>
      <c r="D47" t="n">
        <v>0</v>
      </c>
      <c r="E47" t="inlineStr">
        <is>
          <t>C</t>
        </is>
      </c>
      <c r="F47" t="n">
        <v>43.3</v>
      </c>
      <c r="G47" t="n">
        <v>0</v>
      </c>
      <c r="H47" t="inlineStr"/>
      <c r="I47" t="n">
        <v>4</v>
      </c>
      <c r="J47" t="n">
        <v>0</v>
      </c>
      <c r="K47" t="inlineStr">
        <is>
          <t>Constrained</t>
        </is>
      </c>
      <c r="L47" t="n">
        <v>14.5</v>
      </c>
      <c r="M47" t="inlineStr">
        <is>
          <t>Biennial</t>
        </is>
      </c>
      <c r="N47" t="inlineStr">
        <is>
          <t>none</t>
        </is>
      </c>
      <c r="O47" t="inlineStr">
        <is>
          <t>moderate</t>
        </is>
      </c>
      <c r="P47" t="inlineStr">
        <is>
          <t>high</t>
        </is>
      </c>
      <c r="Q47" t="inlineStr">
        <is>
          <t>coop_only</t>
        </is>
      </c>
      <c r="R47" t="inlineStr"/>
      <c r="S47" t="inlineStr">
        <is>
          <t>typical</t>
        </is>
      </c>
      <c r="T47" t="inlineStr"/>
      <c r="U47" s="41" t="n">
        <v>1432820</v>
      </c>
      <c r="V47" t="n">
        <v>-0.15</v>
      </c>
      <c r="W47" t="n">
        <v>-6.19</v>
      </c>
      <c r="X47" t="inlineStr">
        <is>
          <t>low</t>
        </is>
      </c>
      <c r="Y47" s="50" t="n">
        <v>0</v>
      </c>
      <c r="Z47" s="50" t="n">
        <v>0</v>
      </c>
    </row>
    <row r="48">
      <c r="A48" t="inlineStr">
        <is>
          <t>Nebraska</t>
        </is>
      </c>
      <c r="B48" t="inlineStr">
        <is>
          <t>C</t>
        </is>
      </c>
      <c r="C48" t="n">
        <v>37.5</v>
      </c>
      <c r="D48" t="n">
        <v>0</v>
      </c>
      <c r="E48" t="inlineStr">
        <is>
          <t>C</t>
        </is>
      </c>
      <c r="F48" t="n">
        <v>42.8</v>
      </c>
      <c r="G48" t="n">
        <v>1</v>
      </c>
      <c r="H48" t="inlineStr"/>
      <c r="I48" t="n">
        <v>5</v>
      </c>
      <c r="J48" t="n">
        <v>1</v>
      </c>
      <c r="K48" t="inlineStr">
        <is>
          <t>Distressed</t>
        </is>
      </c>
      <c r="L48" t="n">
        <v>15.2</v>
      </c>
      <c r="M48" t="inlineStr">
        <is>
          <t>Biennial</t>
        </is>
      </c>
      <c r="N48" t="inlineStr">
        <is>
          <t>none</t>
        </is>
      </c>
      <c r="O48" t="inlineStr">
        <is>
          <t>thin</t>
        </is>
      </c>
      <c r="P48" t="inlineStr">
        <is>
          <t>med</t>
        </is>
      </c>
      <c r="Q48" t="inlineStr">
        <is>
          <t>coop_only</t>
        </is>
      </c>
      <c r="R48" t="inlineStr"/>
      <c r="S48" t="inlineStr">
        <is>
          <t>constrained</t>
        </is>
      </c>
      <c r="T48" t="inlineStr">
        <is>
          <t>yes</t>
        </is>
      </c>
      <c r="U48" s="41" t="n">
        <v>2018006</v>
      </c>
      <c r="V48" t="n">
        <v>0.62</v>
      </c>
      <c r="W48" t="n">
        <v>-0.18</v>
      </c>
      <c r="X48" t="inlineStr">
        <is>
          <t>low</t>
        </is>
      </c>
      <c r="Y48" s="50" t="n">
        <v>0</v>
      </c>
      <c r="Z48" s="50" t="n">
        <v>28683</v>
      </c>
    </row>
    <row r="49">
      <c r="A49" t="inlineStr">
        <is>
          <t>North Dakota</t>
        </is>
      </c>
      <c r="B49" t="inlineStr">
        <is>
          <t>D</t>
        </is>
      </c>
      <c r="C49" t="n">
        <v>34.7</v>
      </c>
      <c r="D49" t="n">
        <v>7</v>
      </c>
      <c r="E49" t="inlineStr">
        <is>
          <t>C</t>
        </is>
      </c>
      <c r="F49" t="n">
        <v>42.5</v>
      </c>
      <c r="G49" t="n">
        <v>0</v>
      </c>
      <c r="H49" t="inlineStr">
        <is>
          <t>yes</t>
        </is>
      </c>
      <c r="I49" t="n">
        <v>3</v>
      </c>
      <c r="J49" t="n">
        <v>0</v>
      </c>
      <c r="K49" t="inlineStr">
        <is>
          <t>Stable</t>
        </is>
      </c>
      <c r="L49" t="n">
        <v>30</v>
      </c>
      <c r="M49" t="inlineStr">
        <is>
          <t>Biennial</t>
        </is>
      </c>
      <c r="N49" t="inlineStr">
        <is>
          <t>none</t>
        </is>
      </c>
      <c r="O49" t="inlineStr">
        <is>
          <t>moderate</t>
        </is>
      </c>
      <c r="P49" t="inlineStr">
        <is>
          <t>high</t>
        </is>
      </c>
      <c r="Q49" t="inlineStr">
        <is>
          <t>coop_only</t>
        </is>
      </c>
      <c r="R49" t="inlineStr"/>
      <c r="S49" t="inlineStr">
        <is>
          <t>constrained</t>
        </is>
      </c>
      <c r="T49" t="inlineStr">
        <is>
          <t>yes</t>
        </is>
      </c>
      <c r="U49" s="41" t="n">
        <v>799358</v>
      </c>
      <c r="V49" t="n">
        <v>0.75</v>
      </c>
      <c r="W49" t="n">
        <v>0.64</v>
      </c>
      <c r="X49" t="inlineStr">
        <is>
          <t>med</t>
        </is>
      </c>
      <c r="Y49" s="50" t="n">
        <v>398584</v>
      </c>
      <c r="Z49" s="50" t="n">
        <v>0</v>
      </c>
    </row>
    <row r="50">
      <c r="A50" t="inlineStr">
        <is>
          <t>Missouri</t>
        </is>
      </c>
      <c r="B50" t="inlineStr">
        <is>
          <t>C</t>
        </is>
      </c>
      <c r="C50" t="n">
        <v>42.3</v>
      </c>
      <c r="D50" t="n">
        <v>3</v>
      </c>
      <c r="E50" t="inlineStr">
        <is>
          <t>C</t>
        </is>
      </c>
      <c r="F50" t="n">
        <v>41.9</v>
      </c>
      <c r="G50" t="n">
        <v>2</v>
      </c>
      <c r="H50" t="inlineStr"/>
      <c r="I50" t="n">
        <v>18</v>
      </c>
      <c r="J50" t="n">
        <v>2</v>
      </c>
      <c r="K50" t="inlineStr">
        <is>
          <t>Distressed</t>
        </is>
      </c>
      <c r="L50" t="n">
        <v>5.8</v>
      </c>
      <c r="M50" t="inlineStr">
        <is>
          <t>Annual</t>
        </is>
      </c>
      <c r="N50" t="inlineStr">
        <is>
          <t>none</t>
        </is>
      </c>
      <c r="O50" t="inlineStr">
        <is>
          <t>thin</t>
        </is>
      </c>
      <c r="P50" t="inlineStr">
        <is>
          <t>med</t>
        </is>
      </c>
      <c r="Q50" t="inlineStr">
        <is>
          <t>coop_only</t>
        </is>
      </c>
      <c r="R50" t="inlineStr"/>
      <c r="S50" t="inlineStr">
        <is>
          <t>constrained</t>
        </is>
      </c>
      <c r="T50" t="inlineStr"/>
      <c r="U50" s="41" t="n">
        <v>6270541</v>
      </c>
      <c r="V50" t="n">
        <v>0.43</v>
      </c>
      <c r="W50" t="n">
        <v>2.24</v>
      </c>
      <c r="X50" t="inlineStr">
        <is>
          <t>low</t>
        </is>
      </c>
      <c r="Y50" s="50" t="n">
        <v>126709</v>
      </c>
      <c r="Z50" s="50" t="n">
        <v>660757</v>
      </c>
    </row>
    <row r="51">
      <c r="A51" t="inlineStr">
        <is>
          <t>Alaska</t>
        </is>
      </c>
      <c r="B51" t="inlineStr">
        <is>
          <t>C</t>
        </is>
      </c>
      <c r="C51" t="n">
        <v>38.6</v>
      </c>
      <c r="D51" t="n">
        <v>0</v>
      </c>
      <c r="E51" t="inlineStr">
        <is>
          <t>C</t>
        </is>
      </c>
      <c r="F51" t="n">
        <v>41.9</v>
      </c>
      <c r="G51" t="n">
        <v>0</v>
      </c>
      <c r="H51" t="inlineStr"/>
      <c r="I51" t="n">
        <v>3</v>
      </c>
      <c r="J51" t="n">
        <v>0</v>
      </c>
      <c r="K51" t="inlineStr">
        <is>
          <t>Distressed</t>
        </is>
      </c>
      <c r="L51" t="n">
        <v>51.7</v>
      </c>
      <c r="M51" t="inlineStr">
        <is>
          <t>Annual</t>
        </is>
      </c>
      <c r="N51" t="inlineStr">
        <is>
          <t>none</t>
        </is>
      </c>
      <c r="O51" t="inlineStr">
        <is>
          <t>moderate</t>
        </is>
      </c>
      <c r="P51" t="inlineStr">
        <is>
          <t>high</t>
        </is>
      </c>
      <c r="Q51" t="inlineStr">
        <is>
          <t>coop_only</t>
        </is>
      </c>
      <c r="R51" t="inlineStr"/>
      <c r="S51" t="inlineStr">
        <is>
          <t>typical</t>
        </is>
      </c>
      <c r="T51" t="inlineStr"/>
      <c r="U51" s="41" t="n">
        <v>737270</v>
      </c>
      <c r="V51" t="n">
        <v>0.1</v>
      </c>
      <c r="W51" t="n">
        <v>-6.14</v>
      </c>
      <c r="X51" t="inlineStr">
        <is>
          <t>low</t>
        </is>
      </c>
      <c r="Y51" s="50" t="n">
        <v>0</v>
      </c>
      <c r="Z51" s="50" t="n">
        <v>0</v>
      </c>
    </row>
    <row r="52">
      <c r="A52" t="inlineStr">
        <is>
          <t>Vermont</t>
        </is>
      </c>
      <c r="B52" t="inlineStr">
        <is>
          <t>C</t>
        </is>
      </c>
      <c r="C52" t="n">
        <v>41.8</v>
      </c>
      <c r="D52" t="n">
        <v>0</v>
      </c>
      <c r="E52" t="inlineStr">
        <is>
          <t>C</t>
        </is>
      </c>
      <c r="F52" t="n">
        <v>40.7</v>
      </c>
      <c r="G52" t="n">
        <v>0</v>
      </c>
      <c r="H52" t="inlineStr"/>
      <c r="I52" t="n">
        <v>1</v>
      </c>
      <c r="J52" t="n">
        <v>0</v>
      </c>
      <c r="K52" t="inlineStr">
        <is>
          <t>Constrained</t>
        </is>
      </c>
      <c r="L52" t="n">
        <v>18.2</v>
      </c>
      <c r="M52" t="inlineStr">
        <is>
          <t>Annual</t>
        </is>
      </c>
      <c r="N52" t="inlineStr">
        <is>
          <t>none</t>
        </is>
      </c>
      <c r="O52" t="inlineStr">
        <is>
          <t>moderate</t>
        </is>
      </c>
      <c r="P52" t="inlineStr">
        <is>
          <t>high</t>
        </is>
      </c>
      <c r="Q52" t="inlineStr">
        <is>
          <t>coop_only</t>
        </is>
      </c>
      <c r="R52" t="inlineStr"/>
      <c r="S52" t="inlineStr">
        <is>
          <t>constrained</t>
        </is>
      </c>
      <c r="T52" t="inlineStr"/>
      <c r="U52" s="41" t="n">
        <v>644663</v>
      </c>
      <c r="V52" t="n">
        <v>-0.29</v>
      </c>
      <c r="W52" t="n">
        <v>-1.13</v>
      </c>
      <c r="X52" t="inlineStr">
        <is>
          <t>low</t>
        </is>
      </c>
      <c r="Y52" s="50" t="n">
        <v>0</v>
      </c>
      <c r="Z52" s="50" t="n">
        <v>0</v>
      </c>
    </row>
  </sheetData>
  <autoFilter ref="A1:Z52"/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9" min="1" max="1"/>
    <col width="22" customWidth="1" style="19" min="2" max="2"/>
    <col width="8" customWidth="1" style="19" min="3" max="3"/>
    <col width="24" customWidth="1" style="19" min="4" max="4"/>
    <col width="14" customWidth="1" style="19" min="5" max="5"/>
  </cols>
  <sheetData>
    <row r="1" ht="15" customHeight="1" s="20">
      <c r="A1" s="25" t="inlineStr">
        <is>
          <t>XP</t>
        </is>
      </c>
      <c r="B1" s="25" t="inlineStr">
        <is>
          <t>Manager (Scenario A)</t>
        </is>
      </c>
      <c r="C1" s="25" t="inlineStr">
        <is>
          <t>Level</t>
        </is>
      </c>
      <c r="D1" s="25" t="inlineStr">
        <is>
          <t>Location</t>
        </is>
      </c>
      <c r="E1" s="25" t="inlineStr">
        <is>
          <t>XP Time Zone</t>
        </is>
      </c>
      <c r="G1" s="42" t="inlineStr">
        <is>
          <t>Time Zone</t>
        </is>
      </c>
      <c r="H1" s="42" t="inlineStr">
        <is>
          <t>Offset</t>
        </is>
      </c>
    </row>
    <row r="2" ht="15" customHeight="1" s="20">
      <c r="A2" s="39" t="inlineStr">
        <is>
          <t>Paige Wendle</t>
        </is>
      </c>
      <c r="B2" s="39" t="inlineStr">
        <is>
          <t>Savannah Lane</t>
        </is>
      </c>
      <c r="C2" s="39" t="inlineStr">
        <is>
          <t>XP3</t>
        </is>
      </c>
      <c r="D2" s="39" t="inlineStr">
        <is>
          <t>Idaho</t>
        </is>
      </c>
      <c r="E2" s="39" t="inlineStr">
        <is>
          <t>MT</t>
        </is>
      </c>
      <c r="G2" s="39" t="inlineStr">
        <is>
          <t>PT</t>
        </is>
      </c>
      <c r="H2" s="39" t="n">
        <v>0</v>
      </c>
    </row>
    <row r="3" ht="15" customHeight="1" s="20">
      <c r="A3" s="39" t="inlineStr">
        <is>
          <t>Colleen Moran</t>
        </is>
      </c>
      <c r="B3" s="39" t="inlineStr">
        <is>
          <t>Ashley Hill</t>
        </is>
      </c>
      <c r="C3" s="39" t="inlineStr">
        <is>
          <t>XP3</t>
        </is>
      </c>
      <c r="D3" s="39" t="inlineStr">
        <is>
          <t>Nevada</t>
        </is>
      </c>
      <c r="E3" s="39" t="inlineStr">
        <is>
          <t>PT</t>
        </is>
      </c>
      <c r="G3" s="39" t="inlineStr">
        <is>
          <t>MT</t>
        </is>
      </c>
      <c r="H3" s="39" t="n">
        <v>1</v>
      </c>
    </row>
    <row r="4" ht="15" customHeight="1" s="20">
      <c r="A4" s="39" t="inlineStr">
        <is>
          <t>Open XP2 (PT)</t>
        </is>
      </c>
      <c r="B4" s="39" t="inlineStr">
        <is>
          <t>TBD</t>
        </is>
      </c>
      <c r="C4" s="39" t="inlineStr">
        <is>
          <t>XP2</t>
        </is>
      </c>
      <c r="D4" s="39" t="inlineStr">
        <is>
          <t>Open headcount, Pacific</t>
        </is>
      </c>
      <c r="E4" s="39" t="inlineStr">
        <is>
          <t>PT</t>
        </is>
      </c>
      <c r="G4" s="39" t="inlineStr">
        <is>
          <t>CT</t>
        </is>
      </c>
      <c r="H4" s="39" t="n">
        <v>2</v>
      </c>
    </row>
    <row r="5" ht="15" customHeight="1" s="20">
      <c r="A5" s="39" t="inlineStr">
        <is>
          <t>Cody Nichols</t>
        </is>
      </c>
      <c r="B5" s="39" t="inlineStr">
        <is>
          <t>Ashley Hill</t>
        </is>
      </c>
      <c r="C5" s="39" t="inlineStr">
        <is>
          <t>XP1</t>
        </is>
      </c>
      <c r="D5" s="39" t="inlineStr">
        <is>
          <t>Costa Rica</t>
        </is>
      </c>
      <c r="E5" s="39" t="inlineStr">
        <is>
          <t>CT</t>
        </is>
      </c>
      <c r="G5" s="39" t="inlineStr">
        <is>
          <t>ET</t>
        </is>
      </c>
      <c r="H5" s="39" t="n">
        <v>3</v>
      </c>
    </row>
    <row r="6" ht="15" customHeight="1" s="20">
      <c r="A6" s="39" t="inlineStr">
        <is>
          <t>Alejandro Solano</t>
        </is>
      </c>
      <c r="B6" s="39" t="inlineStr">
        <is>
          <t>Ashley Hill</t>
        </is>
      </c>
      <c r="C6" s="39" t="inlineStr">
        <is>
          <t>XP1</t>
        </is>
      </c>
      <c r="D6" s="39" t="inlineStr">
        <is>
          <t>Costa Rica</t>
        </is>
      </c>
      <c r="E6" s="39" t="inlineStr">
        <is>
          <t>CT</t>
        </is>
      </c>
    </row>
    <row r="7" ht="15" customHeight="1" s="20">
      <c r="A7" s="39" t="inlineStr">
        <is>
          <t>Taylor Roman</t>
        </is>
      </c>
      <c r="B7" s="39" t="inlineStr">
        <is>
          <t>Savannah Lane</t>
        </is>
      </c>
      <c r="C7" s="39" t="inlineStr">
        <is>
          <t>XP3</t>
        </is>
      </c>
      <c r="D7" s="39" t="inlineStr">
        <is>
          <t>Miami, FL</t>
        </is>
      </c>
      <c r="E7" s="39" t="inlineStr">
        <is>
          <t>ET</t>
        </is>
      </c>
    </row>
    <row r="8" ht="15" customHeight="1" s="20">
      <c r="A8" s="39" t="inlineStr">
        <is>
          <t>Marcy Castro</t>
        </is>
      </c>
      <c r="B8" s="39" t="inlineStr">
        <is>
          <t>Ashley Hill</t>
        </is>
      </c>
      <c r="C8" s="39" t="inlineStr">
        <is>
          <t>XP1</t>
        </is>
      </c>
      <c r="D8" s="39" t="inlineStr">
        <is>
          <t>Costa Rica</t>
        </is>
      </c>
      <c r="E8" s="39" t="inlineStr">
        <is>
          <t>CT</t>
        </is>
      </c>
      <c r="G8" s="36" t="inlineStr">
        <is>
          <t>Offsets are hours relative to Pacific. Source: standard US time zones; Costa Rica treated as Central.</t>
        </is>
      </c>
    </row>
    <row r="9" ht="15" customHeight="1" s="20">
      <c r="A9" s="39" t="inlineStr">
        <is>
          <t>Brooke Minichino</t>
        </is>
      </c>
      <c r="B9" s="39" t="inlineStr">
        <is>
          <t>Savannah Lane</t>
        </is>
      </c>
      <c r="C9" s="39" t="inlineStr">
        <is>
          <t>XP2</t>
        </is>
      </c>
      <c r="D9" s="39" t="inlineStr">
        <is>
          <t>Washington, DC</t>
        </is>
      </c>
      <c r="E9" s="39" t="inlineStr">
        <is>
          <t>ET</t>
        </is>
      </c>
    </row>
    <row r="10" ht="15" customHeight="1" s="20">
      <c r="A10" s="39" t="inlineStr">
        <is>
          <t>Steffany Amador</t>
        </is>
      </c>
      <c r="B10" s="39" t="inlineStr">
        <is>
          <t>Ashley Hill</t>
        </is>
      </c>
      <c r="C10" s="39" t="inlineStr">
        <is>
          <t>XP3</t>
        </is>
      </c>
      <c r="D10" s="39" t="inlineStr">
        <is>
          <t>North Carolina</t>
        </is>
      </c>
      <c r="E10" s="39" t="inlineStr">
        <is>
          <t>ET</t>
        </is>
      </c>
    </row>
    <row r="11" ht="15" customHeight="1" s="20">
      <c r="A11" s="39" t="inlineStr">
        <is>
          <t>Halena Martin</t>
        </is>
      </c>
      <c r="B11" s="39" t="inlineStr">
        <is>
          <t>Savannah Lane</t>
        </is>
      </c>
      <c r="C11" s="39" t="inlineStr">
        <is>
          <t>XP3</t>
        </is>
      </c>
      <c r="D11" s="39" t="inlineStr">
        <is>
          <t>Pennsylvania</t>
        </is>
      </c>
      <c r="E11" s="39" t="inlineStr">
        <is>
          <t>ET</t>
        </is>
      </c>
    </row>
    <row r="12" ht="15" customHeight="1" s="20">
      <c r="A12" s="39" t="inlineStr">
        <is>
          <t>Andy O'Brien</t>
        </is>
      </c>
      <c r="B12" s="39" t="inlineStr">
        <is>
          <t>Savannah Lane</t>
        </is>
      </c>
      <c r="C12" s="39" t="inlineStr">
        <is>
          <t>XP3</t>
        </is>
      </c>
      <c r="D12" s="39" t="inlineStr">
        <is>
          <t>Virginia</t>
        </is>
      </c>
      <c r="E12" s="39" t="inlineStr">
        <is>
          <t>ET</t>
        </is>
      </c>
    </row>
    <row r="13" ht="15" customHeight="1" s="20">
      <c r="A13" s="39" t="inlineStr">
        <is>
          <t>Carolina Cambronero</t>
        </is>
      </c>
      <c r="B13" s="39" t="inlineStr">
        <is>
          <t>Savannah Lane</t>
        </is>
      </c>
      <c r="C13" s="39" t="inlineStr">
        <is>
          <t>XP3</t>
        </is>
      </c>
      <c r="D13" s="39" t="inlineStr">
        <is>
          <t>Costa Rica</t>
        </is>
      </c>
      <c r="E13" s="39" t="inlineStr">
        <is>
          <t>CT</t>
        </is>
      </c>
    </row>
    <row r="14" ht="15" customHeight="1" s="20">
      <c r="A14" s="39" t="inlineStr">
        <is>
          <t>Carolina Prieto</t>
        </is>
      </c>
      <c r="B14" s="39" t="inlineStr">
        <is>
          <t>Carolina Prieto (manager book)</t>
        </is>
      </c>
      <c r="C14" s="39" t="inlineStr">
        <is>
          <t>Manager</t>
        </is>
      </c>
      <c r="D14" s="39" t="inlineStr">
        <is>
          <t>Not specified</t>
        </is>
      </c>
      <c r="E14" s="39" t="inlineStr">
        <is>
          <t>n/a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E2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19" min="1" max="1"/>
    <col width="30" customWidth="1" style="19" min="2" max="2"/>
    <col width="6" customWidth="1" style="19" min="3" max="3"/>
    <col width="11" customWidth="1" style="19" min="4" max="4"/>
    <col width="26" customWidth="1" style="19" min="5" max="5"/>
    <col width="20" customWidth="1" style="19" min="6" max="7"/>
    <col width="10" customWidth="1" style="19" min="8" max="8"/>
    <col width="16" customWidth="1" style="19" min="9" max="9"/>
    <col width="10" customWidth="1" style="19" min="10" max="12"/>
    <col width="13" customWidth="1" style="19" min="13" max="13"/>
    <col width="12" customWidth="1" style="19" min="14" max="15"/>
    <col width="14" customWidth="1" style="19" min="16" max="16"/>
    <col width="12" customWidth="1" style="19" min="17" max="17"/>
    <col width="50" customWidth="1" style="19" min="18" max="18"/>
    <col width="20" customWidth="1" style="19" min="19" max="19"/>
    <col width="14" customWidth="1" style="19" min="20" max="20"/>
    <col width="70" customWidth="1" style="19" min="21" max="21"/>
    <col width="13" customWidth="1" style="20" min="24" max="24"/>
    <col width="15" customWidth="1" style="20" min="25" max="25"/>
    <col width="20" customWidth="1" style="20" min="26" max="26"/>
    <col width="17" customWidth="1" style="20" min="27" max="27"/>
    <col width="12" customWidth="1" style="20" min="28" max="28"/>
    <col width="18" customWidth="1" style="20" min="29" max="29"/>
    <col width="12" customWidth="1" style="20" min="30" max="30"/>
    <col width="15" customWidth="1" style="20" min="31" max="31"/>
  </cols>
  <sheetData>
    <row r="1" ht="46.25" customHeight="1" s="20">
      <c r="A1" s="25" t="inlineStr">
        <is>
          <t>Account Name</t>
        </is>
      </c>
      <c r="B1" s="25" t="inlineStr">
        <is>
          <t>Ultimate Parent</t>
        </is>
      </c>
      <c r="C1" s="25" t="inlineStr">
        <is>
          <t>State</t>
        </is>
      </c>
      <c r="D1" s="25" t="inlineStr">
        <is>
          <t>Map</t>
        </is>
      </c>
      <c r="E1" s="25" t="inlineStr">
        <is>
          <t>AE / SAM</t>
        </is>
      </c>
      <c r="F1" s="25" t="inlineStr">
        <is>
          <t>WIP Proposed XP</t>
        </is>
      </c>
      <c r="G1" s="25" t="inlineStr">
        <is>
          <t>Revised XP</t>
        </is>
      </c>
      <c r="H1" s="25" t="inlineStr">
        <is>
          <t>Moved vs WIP</t>
        </is>
      </c>
      <c r="I1" s="25" t="inlineStr">
        <is>
          <t>Revised Manager</t>
        </is>
      </c>
      <c r="J1" s="25" t="inlineStr">
        <is>
          <t>XP Time Zone</t>
        </is>
      </c>
      <c r="K1" s="25" t="inlineStr">
        <is>
          <t>Account Time Zone</t>
        </is>
      </c>
      <c r="L1" s="25" t="inlineStr">
        <is>
          <t>Time Zone Fit</t>
        </is>
      </c>
      <c r="M1" s="25" t="inlineStr">
        <is>
          <t>ARR</t>
        </is>
      </c>
      <c r="N1" s="25" t="inlineStr">
        <is>
          <t>Counts vs Cap</t>
        </is>
      </c>
      <c r="O1" s="25" t="inlineStr">
        <is>
          <t>Capabilities (#)</t>
        </is>
      </c>
      <c r="P1" s="25" t="inlineStr">
        <is>
          <t>Service Cloud Advanced (Y/N)</t>
        </is>
      </c>
      <c r="Q1" s="25" t="inlineStr">
        <is>
          <t>Complex Account</t>
        </is>
      </c>
      <c r="R1" s="25" t="inlineStr">
        <is>
          <t>Mapping Note</t>
        </is>
      </c>
      <c r="S1" s="25" t="inlineStr">
        <is>
          <t>Current XP (9/21 export)</t>
        </is>
      </c>
      <c r="T1" s="25" t="inlineStr">
        <is>
          <t>Market Segment (export)</t>
        </is>
      </c>
      <c r="U1" s="25" t="inlineStr">
        <is>
          <t>Capabilities Counted</t>
        </is>
      </c>
      <c r="V1" s="26" t="inlineStr">
        <is>
          <t>Complex threshold</t>
        </is>
      </c>
      <c r="W1" s="27" t="n">
        <v>7</v>
      </c>
      <c r="X1" s="28" t="inlineStr">
        <is>
          <t>Territory Tier</t>
        </is>
      </c>
      <c r="Y1" s="28" t="inlineStr">
        <is>
          <t>Territory Score</t>
        </is>
      </c>
      <c r="Z1" s="28" t="inlineStr">
        <is>
          <t>Capability Whitespace</t>
        </is>
      </c>
      <c r="AA1" s="28" t="inlineStr">
        <is>
          <t>Growth Potential</t>
        </is>
      </c>
      <c r="AB1" s="28" t="inlineStr">
        <is>
          <t>Growth Tier</t>
        </is>
      </c>
      <c r="AC1" s="28" t="inlineStr">
        <is>
          <t>Growth Tier Label</t>
        </is>
      </c>
      <c r="AD1" s="28" t="inlineStr">
        <is>
          <t>Growth Load</t>
        </is>
      </c>
      <c r="AE1" s="28" t="inlineStr">
        <is>
          <t>Capability Data</t>
        </is>
      </c>
    </row>
    <row r="2" ht="15" customHeight="1" s="20">
      <c r="A2" s="29" t="inlineStr">
        <is>
          <t>Denver City and County, CO</t>
        </is>
      </c>
      <c r="B2" s="29" t="inlineStr">
        <is>
          <t>Denver City and County, CO</t>
        </is>
      </c>
      <c r="C2" s="29" t="inlineStr">
        <is>
          <t>CO</t>
        </is>
      </c>
      <c r="D2" s="29" t="inlineStr">
        <is>
          <t>Local ENT</t>
        </is>
      </c>
      <c r="E2" s="29" t="inlineStr">
        <is>
          <t>David Cliff</t>
        </is>
      </c>
      <c r="F2" s="29" t="inlineStr">
        <is>
          <t>Steffany Amador</t>
        </is>
      </c>
      <c r="G2" s="39" t="inlineStr">
        <is>
          <t>Paige Wendle</t>
        </is>
      </c>
      <c r="H2" s="29">
        <f>IF(F2="(not in WIP)","New to Enterprise",IF(F2=G2,"No","Yes"))</f>
        <v/>
      </c>
      <c r="I2" s="29">
        <f>IFERROR(INDEX(Lookups!$B$2:$B$14,MATCH(G2,Lookups!$A$2:$A$14,0)),"Not found")</f>
        <v/>
      </c>
      <c r="J2" s="29">
        <f>IFERROR(INDEX(Lookups!$E$2:$E$14,MATCH(G2,Lookups!$A$2:$A$14,0)),"")</f>
        <v/>
      </c>
      <c r="K2" s="39" t="inlineStr">
        <is>
          <t>MT</t>
        </is>
      </c>
      <c r="L2" s="29">
        <f>IF(J2="n/a","n/a",IFERROR(IF(ABS(INDEX(Lookups!$H$2:$H$5,MATCH(J2,Lookups!$G$2:$G$5,0))-INDEX(Lookups!$H$2:$H$5,MATCH(K2,Lookups!$G$2:$G$5,0)))&lt;=1,"Yes","No"),"Check"))</f>
        <v/>
      </c>
      <c r="M2" s="43" t="n">
        <v>370850.21</v>
      </c>
      <c r="N2" s="29" t="inlineStr">
        <is>
          <t>Yes</t>
        </is>
      </c>
      <c r="O2" s="39" t="n">
        <v>4</v>
      </c>
      <c r="P2" s="27" t="n"/>
      <c r="Q2" s="29">
        <f>IF(N2&lt;&gt;"Yes","n/a",IF(OR(AND(O2&lt;&gt;"",O2&gt;$W$1),P2="Y"),"Yes",IF(O2&lt;&gt;"","No","Pending")))</f>
        <v/>
      </c>
      <c r="R2" s="29" t="n"/>
      <c r="S2" s="29" t="inlineStr">
        <is>
          <t>Steffany Amador</t>
        </is>
      </c>
      <c r="T2" s="29" t="inlineStr">
        <is>
          <t>Local ENT</t>
        </is>
      </c>
      <c r="U2" s="29" t="inlineStr">
        <is>
          <t>Agenda &amp; Video, Forms &amp; Workflows, Websites, Portals, &amp; Intranets, govXCloud</t>
        </is>
      </c>
      <c r="X2" s="19" t="inlineStr">
        <is>
          <t>B</t>
        </is>
      </c>
      <c r="Y2" s="19" t="n">
        <v>50.1</v>
      </c>
      <c r="Z2" s="44" t="n">
        <v>0.5</v>
      </c>
      <c r="AA2" s="51" t="n">
        <v>0.5006</v>
      </c>
      <c r="AB2" s="46" t="n">
        <v>3</v>
      </c>
      <c r="AC2" s="19" t="inlineStr">
        <is>
          <t>Defend</t>
        </is>
      </c>
      <c r="AD2" s="19" t="n">
        <v>0.5</v>
      </c>
      <c r="AE2" s="19" t="inlineStr">
        <is>
          <t>reported</t>
        </is>
      </c>
    </row>
    <row r="3" ht="15" customHeight="1" s="20">
      <c r="A3" s="29" t="inlineStr">
        <is>
          <t>Arapahoe County CO</t>
        </is>
      </c>
      <c r="B3" s="29" t="inlineStr">
        <is>
          <t>Arapahoe County CO</t>
        </is>
      </c>
      <c r="C3" s="29" t="inlineStr">
        <is>
          <t>CO</t>
        </is>
      </c>
      <c r="D3" s="29" t="inlineStr">
        <is>
          <t>Local ENT</t>
        </is>
      </c>
      <c r="E3" s="29" t="inlineStr">
        <is>
          <t>David Cliff</t>
        </is>
      </c>
      <c r="F3" s="29" t="inlineStr">
        <is>
          <t>Steffany Amador</t>
        </is>
      </c>
      <c r="G3" s="39" t="inlineStr">
        <is>
          <t>Paige Wendle</t>
        </is>
      </c>
      <c r="H3" s="29">
        <f>IF(F3="(not in WIP)","New to Enterprise",IF(F3=G3,"No","Yes"))</f>
        <v/>
      </c>
      <c r="I3" s="29">
        <f>IFERROR(INDEX(Lookups!$B$2:$B$14,MATCH(G3,Lookups!$A$2:$A$14,0)),"Not found")</f>
        <v/>
      </c>
      <c r="J3" s="29">
        <f>IFERROR(INDEX(Lookups!$E$2:$E$14,MATCH(G3,Lookups!$A$2:$A$14,0)),"")</f>
        <v/>
      </c>
      <c r="K3" s="39" t="inlineStr">
        <is>
          <t>MT</t>
        </is>
      </c>
      <c r="L3" s="29">
        <f>IF(J3="n/a","n/a",IFERROR(IF(ABS(INDEX(Lookups!$H$2:$H$5,MATCH(J3,Lookups!$G$2:$G$5,0))-INDEX(Lookups!$H$2:$H$5,MATCH(K3,Lookups!$G$2:$G$5,0)))&lt;=1,"Yes","No"),"Check"))</f>
        <v/>
      </c>
      <c r="M3" s="43" t="n">
        <v>331546.29</v>
      </c>
      <c r="N3" s="29" t="inlineStr">
        <is>
          <t>Yes</t>
        </is>
      </c>
      <c r="O3" s="39" t="n">
        <v>7</v>
      </c>
      <c r="P3" s="27" t="n"/>
      <c r="Q3" s="29">
        <f>IF(N3&lt;&gt;"Yes","n/a",IF(OR(AND(O3&lt;&gt;"",O3&gt;$W$1),P3="Y"),"Yes",IF(O3&lt;&gt;"","No","Pending")))</f>
        <v/>
      </c>
      <c r="R3" s="29" t="n"/>
      <c r="S3" s="29" t="inlineStr">
        <is>
          <t>Steffany Amador</t>
        </is>
      </c>
      <c r="T3" s="29" t="inlineStr">
        <is>
          <t>Local ENT</t>
        </is>
      </c>
      <c r="U3" s="29" t="inlineStr">
        <is>
          <t>Agenda &amp; Video, Email &amp; SMS, Engagement &amp; Sentiment, Forms &amp; Workflows, Recurring Services, Short-term Rentals, Websites, Portals, &amp; Intranets</t>
        </is>
      </c>
      <c r="X3" s="19" t="inlineStr">
        <is>
          <t>B</t>
        </is>
      </c>
      <c r="Y3" s="19" t="n">
        <v>50.1</v>
      </c>
      <c r="Z3" s="44" t="n">
        <v>0.125</v>
      </c>
      <c r="AA3" s="51" t="n">
        <v>0.3506</v>
      </c>
      <c r="AB3" s="46" t="n">
        <v>3</v>
      </c>
      <c r="AC3" s="19" t="inlineStr">
        <is>
          <t>Defend</t>
        </is>
      </c>
      <c r="AD3" s="19" t="n">
        <v>0.5</v>
      </c>
      <c r="AE3" s="19" t="inlineStr">
        <is>
          <t>reported</t>
        </is>
      </c>
    </row>
    <row r="4" ht="15" customHeight="1" s="20">
      <c r="A4" s="29" t="inlineStr">
        <is>
          <t>District of Columbia</t>
        </is>
      </c>
      <c r="B4" s="29" t="inlineStr">
        <is>
          <t>District of Columbia</t>
        </is>
      </c>
      <c r="C4" s="29" t="inlineStr">
        <is>
          <t>DC</t>
        </is>
      </c>
      <c r="D4" s="29" t="inlineStr">
        <is>
          <t>Neither map</t>
        </is>
      </c>
      <c r="E4" s="29" t="inlineStr">
        <is>
          <t>Not on either map</t>
        </is>
      </c>
      <c r="F4" s="29" t="inlineStr">
        <is>
          <t>Paige Wendle</t>
        </is>
      </c>
      <c r="G4" s="39" t="inlineStr">
        <is>
          <t>Paige Wendle</t>
        </is>
      </c>
      <c r="H4" s="29">
        <f>IF(F4="(not in WIP)","New to Enterprise",IF(F4=G4,"No","Yes"))</f>
        <v/>
      </c>
      <c r="I4" s="29">
        <f>IFERROR(INDEX(Lookups!$B$2:$B$14,MATCH(G4,Lookups!$A$2:$A$14,0)),"Not found")</f>
        <v/>
      </c>
      <c r="J4" s="29">
        <f>IFERROR(INDEX(Lookups!$E$2:$E$14,MATCH(G4,Lookups!$A$2:$A$14,0)),"")</f>
        <v/>
      </c>
      <c r="K4" s="39" t="inlineStr">
        <is>
          <t>ET</t>
        </is>
      </c>
      <c r="L4" s="29">
        <f>IF(J4="n/a","n/a",IFERROR(IF(ABS(INDEX(Lookups!$H$2:$H$5,MATCH(J4,Lookups!$G$2:$G$5,0))-INDEX(Lookups!$H$2:$H$5,MATCH(K4,Lookups!$G$2:$G$5,0)))&lt;=1,"Yes","No"),"Check"))</f>
        <v/>
      </c>
      <c r="M4" s="43" t="n">
        <v>725132.5</v>
      </c>
      <c r="N4" s="29" t="inlineStr">
        <is>
          <t>Yes</t>
        </is>
      </c>
      <c r="O4" s="39" t="n">
        <v>4</v>
      </c>
      <c r="P4" s="27" t="n"/>
      <c r="Q4" s="29">
        <f>IF(N4&lt;&gt;"Yes","n/a",IF(OR(AND(O4&lt;&gt;"",O4&gt;$W$1),P4="Y"),"Yes",IF(O4&lt;&gt;"","No","Pending")))</f>
        <v/>
      </c>
      <c r="R4" s="29" t="n"/>
      <c r="S4" s="29" t="inlineStr">
        <is>
          <t>Paige Wendle</t>
        </is>
      </c>
      <c r="T4" s="29" t="inlineStr">
        <is>
          <t>Federal</t>
        </is>
      </c>
      <c r="U4" s="29" t="inlineStr">
        <is>
          <t>Email &amp; SMS, Engagement &amp; Sentiment, Public Records Request, Recurring Services</t>
        </is>
      </c>
      <c r="X4" s="19" t="inlineStr">
        <is>
          <t>B</t>
        </is>
      </c>
      <c r="Y4" s="19" t="n">
        <v>51.7</v>
      </c>
      <c r="Z4" s="44" t="n">
        <v>0.5</v>
      </c>
      <c r="AA4" s="51" t="n">
        <v>0.5102</v>
      </c>
      <c r="AB4" s="46" t="n">
        <v>3</v>
      </c>
      <c r="AC4" s="19" t="inlineStr">
        <is>
          <t>Defend</t>
        </is>
      </c>
      <c r="AD4" s="19" t="n">
        <v>0.5</v>
      </c>
      <c r="AE4" s="19" t="inlineStr">
        <is>
          <t>reported</t>
        </is>
      </c>
    </row>
    <row r="5" ht="15" customHeight="1" s="20">
      <c r="A5" s="29" t="inlineStr">
        <is>
          <t>Idaho Labor Department</t>
        </is>
      </c>
      <c r="B5" s="29" t="inlineStr">
        <is>
          <t>Idaho</t>
        </is>
      </c>
      <c r="C5" s="29" t="inlineStr">
        <is>
          <t>ID</t>
        </is>
      </c>
      <c r="D5" s="29" t="inlineStr">
        <is>
          <t>State</t>
        </is>
      </c>
      <c r="E5" s="29" t="inlineStr">
        <is>
          <t>Scott Mark</t>
        </is>
      </c>
      <c r="F5" s="29" t="inlineStr">
        <is>
          <t>Paige Wendle</t>
        </is>
      </c>
      <c r="G5" s="39" t="inlineStr">
        <is>
          <t>Paige Wendle</t>
        </is>
      </c>
      <c r="H5" s="29">
        <f>IF(F5="(not in WIP)","New to Enterprise",IF(F5=G5,"No","Yes"))</f>
        <v/>
      </c>
      <c r="I5" s="29">
        <f>IFERROR(INDEX(Lookups!$B$2:$B$14,MATCH(G5,Lookups!$A$2:$A$14,0)),"Not found")</f>
        <v/>
      </c>
      <c r="J5" s="29">
        <f>IFERROR(INDEX(Lookups!$E$2:$E$14,MATCH(G5,Lookups!$A$2:$A$14,0)),"")</f>
        <v/>
      </c>
      <c r="K5" s="39" t="inlineStr">
        <is>
          <t>MT</t>
        </is>
      </c>
      <c r="L5" s="29">
        <f>IF(J5="n/a","n/a",IFERROR(IF(ABS(INDEX(Lookups!$H$2:$H$5,MATCH(J5,Lookups!$G$2:$G$5,0))-INDEX(Lookups!$H$2:$H$5,MATCH(K5,Lookups!$G$2:$G$5,0)))&lt;=1,"Yes","No"),"Check"))</f>
        <v/>
      </c>
      <c r="M5" s="43" t="n">
        <v>88765.39</v>
      </c>
      <c r="N5" s="29" t="inlineStr">
        <is>
          <t>Yes</t>
        </is>
      </c>
      <c r="O5" s="39" t="n">
        <v>3</v>
      </c>
      <c r="P5" s="27" t="n"/>
      <c r="Q5" s="29">
        <f>IF(N5&lt;&gt;"Yes","n/a",IF(OR(AND(O5&lt;&gt;"",O5&gt;$W$1),P5="Y"),"Yes",IF(O5&lt;&gt;"","No","Pending")))</f>
        <v/>
      </c>
      <c r="R5" s="29" t="n"/>
      <c r="S5" s="29" t="inlineStr">
        <is>
          <t>Paige Wendle</t>
        </is>
      </c>
      <c r="T5" s="29" t="inlineStr">
        <is>
          <t>State</t>
        </is>
      </c>
      <c r="U5" s="29" t="inlineStr">
        <is>
          <t>Email &amp; SMS, Engagement &amp; Sentiment, Recurring Services</t>
        </is>
      </c>
      <c r="X5" s="19" t="inlineStr">
        <is>
          <t>C</t>
        </is>
      </c>
      <c r="Y5" s="19" t="n">
        <v>42.3</v>
      </c>
      <c r="Z5" s="44" t="n">
        <v>0.625</v>
      </c>
      <c r="AA5" s="51" t="n">
        <v>0.5038</v>
      </c>
      <c r="AB5" s="47" t="n">
        <v>4</v>
      </c>
      <c r="AC5" s="19" t="inlineStr">
        <is>
          <t>Maintain</t>
        </is>
      </c>
      <c r="AD5" s="19" t="n">
        <v>0.3</v>
      </c>
      <c r="AE5" s="19" t="inlineStr">
        <is>
          <t>reported</t>
        </is>
      </c>
    </row>
    <row r="6" ht="15" customHeight="1" s="20">
      <c r="A6" s="29" t="inlineStr">
        <is>
          <t>Washington County OR</t>
        </is>
      </c>
      <c r="B6" s="29" t="inlineStr">
        <is>
          <t>Washington County OR</t>
        </is>
      </c>
      <c r="C6" s="29" t="inlineStr">
        <is>
          <t>OR</t>
        </is>
      </c>
      <c r="D6" s="29" t="inlineStr">
        <is>
          <t>Local ENT</t>
        </is>
      </c>
      <c r="E6" s="29" t="inlineStr">
        <is>
          <t>Carrie Breedlove</t>
        </is>
      </c>
      <c r="F6" s="29" t="inlineStr">
        <is>
          <t>Paige Wendle</t>
        </is>
      </c>
      <c r="G6" s="39" t="inlineStr">
        <is>
          <t>Paige Wendle</t>
        </is>
      </c>
      <c r="H6" s="29">
        <f>IF(F6="(not in WIP)","New to Enterprise",IF(F6=G6,"No","Yes"))</f>
        <v/>
      </c>
      <c r="I6" s="29">
        <f>IFERROR(INDEX(Lookups!$B$2:$B$14,MATCH(G6,Lookups!$A$2:$A$14,0)),"Not found")</f>
        <v/>
      </c>
      <c r="J6" s="29">
        <f>IFERROR(INDEX(Lookups!$E$2:$E$14,MATCH(G6,Lookups!$A$2:$A$14,0)),"")</f>
        <v/>
      </c>
      <c r="K6" s="39" t="inlineStr">
        <is>
          <t>PT</t>
        </is>
      </c>
      <c r="L6" s="29">
        <f>IF(J6="n/a","n/a",IFERROR(IF(ABS(INDEX(Lookups!$H$2:$H$5,MATCH(J6,Lookups!$G$2:$G$5,0))-INDEX(Lookups!$H$2:$H$5,MATCH(K6,Lookups!$G$2:$G$5,0)))&lt;=1,"Yes","No"),"Check"))</f>
        <v/>
      </c>
      <c r="M6" s="43" t="n">
        <v>229991.53</v>
      </c>
      <c r="N6" s="29" t="inlineStr">
        <is>
          <t>Yes</t>
        </is>
      </c>
      <c r="O6" s="39" t="n">
        <v>6</v>
      </c>
      <c r="P6" s="27" t="n"/>
      <c r="Q6" s="29">
        <f>IF(N6&lt;&gt;"Yes","n/a",IF(OR(AND(O6&lt;&gt;"",O6&gt;$W$1),P6="Y"),"Yes",IF(O6&lt;&gt;"","No","Pending")))</f>
        <v/>
      </c>
      <c r="R6" s="29" t="n"/>
      <c r="S6" s="29" t="inlineStr">
        <is>
          <t>Brooke Minichino</t>
        </is>
      </c>
      <c r="T6" s="29" t="inlineStr">
        <is>
          <t>Local ENT</t>
        </is>
      </c>
      <c r="U6" s="29" t="inlineStr">
        <is>
          <t>Agenda &amp; Video, Channel Shift, Email &amp; SMS, Engagement &amp; Sentiment, Public Records Request, Recurring Services</t>
        </is>
      </c>
      <c r="X6" s="19" t="inlineStr">
        <is>
          <t>C</t>
        </is>
      </c>
      <c r="Y6" s="19" t="n">
        <v>46</v>
      </c>
      <c r="Z6" s="44" t="n">
        <v>0.25</v>
      </c>
      <c r="AA6" s="51" t="n">
        <v>0.376</v>
      </c>
      <c r="AB6" s="46" t="n">
        <v>3</v>
      </c>
      <c r="AC6" s="19" t="inlineStr">
        <is>
          <t>Defend</t>
        </is>
      </c>
      <c r="AD6" s="19" t="n">
        <v>0.5</v>
      </c>
      <c r="AE6" s="19" t="inlineStr">
        <is>
          <t>reported</t>
        </is>
      </c>
    </row>
    <row r="7" ht="15" customHeight="1" s="20">
      <c r="A7" s="29" t="inlineStr">
        <is>
          <t>Tri-County Metropolitan Transportation District of Oregon (TriMet)</t>
        </is>
      </c>
      <c r="B7" s="29" t="inlineStr">
        <is>
          <t>Multnomah County OR</t>
        </is>
      </c>
      <c r="C7" s="29" t="inlineStr">
        <is>
          <t>OR</t>
        </is>
      </c>
      <c r="D7" s="29" t="inlineStr">
        <is>
          <t>Local ENT</t>
        </is>
      </c>
      <c r="E7" s="29" t="inlineStr">
        <is>
          <t>Carrie Breedlove</t>
        </is>
      </c>
      <c r="F7" s="29" t="inlineStr">
        <is>
          <t>(not in WIP)</t>
        </is>
      </c>
      <c r="G7" s="39" t="inlineStr">
        <is>
          <t>Paige Wendle</t>
        </is>
      </c>
      <c r="H7" s="29">
        <f>IF(F7="(not in WIP)","New to Enterprise",IF(F7=G7,"No","Yes"))</f>
        <v/>
      </c>
      <c r="I7" s="29">
        <f>IFERROR(INDEX(Lookups!$B$2:$B$14,MATCH(G7,Lookups!$A$2:$A$14,0)),"Not found")</f>
        <v/>
      </c>
      <c r="J7" s="29">
        <f>IFERROR(INDEX(Lookups!$E$2:$E$14,MATCH(G7,Lookups!$A$2:$A$14,0)),"")</f>
        <v/>
      </c>
      <c r="K7" s="39" t="inlineStr">
        <is>
          <t>PT</t>
        </is>
      </c>
      <c r="L7" s="29">
        <f>IF(J7="n/a","n/a",IFERROR(IF(ABS(INDEX(Lookups!$H$2:$H$5,MATCH(J7,Lookups!$G$2:$G$5,0))-INDEX(Lookups!$H$2:$H$5,MATCH(K7,Lookups!$G$2:$G$5,0)))&lt;=1,"Yes","No"),"Check"))</f>
        <v/>
      </c>
      <c r="M7" s="43" t="n">
        <v>180702.45</v>
      </c>
      <c r="N7" s="29" t="inlineStr">
        <is>
          <t>Yes</t>
        </is>
      </c>
      <c r="O7" s="39" t="n">
        <v>2</v>
      </c>
      <c r="P7" s="27" t="n"/>
      <c r="Q7" s="29">
        <f>IF(N7&lt;&gt;"Yes","n/a",IF(OR(AND(O7&lt;&gt;"",O7&gt;$W$1),P7="Y"),"Yes",IF(O7&lt;&gt;"","No","Pending")))</f>
        <v/>
      </c>
      <c r="R7" s="29" t="n"/>
      <c r="S7" s="29" t="inlineStr">
        <is>
          <t>Natalia Sanchez</t>
        </is>
      </c>
      <c r="T7" s="29" t="inlineStr">
        <is>
          <t>Local ENT</t>
        </is>
      </c>
      <c r="U7" s="29" t="inlineStr">
        <is>
          <t>Email &amp; SMS, Public Records Request</t>
        </is>
      </c>
      <c r="X7" s="19" t="inlineStr">
        <is>
          <t>C</t>
        </is>
      </c>
      <c r="Y7" s="19" t="n">
        <v>46</v>
      </c>
      <c r="Z7" s="44" t="n">
        <v>0.75</v>
      </c>
      <c r="AA7" s="51" t="n">
        <v>0.576</v>
      </c>
      <c r="AB7" s="46" t="n">
        <v>3</v>
      </c>
      <c r="AC7" s="19" t="inlineStr">
        <is>
          <t>Defend</t>
        </is>
      </c>
      <c r="AD7" s="19" t="n">
        <v>0.5</v>
      </c>
      <c r="AE7" s="19" t="inlineStr">
        <is>
          <t>reported</t>
        </is>
      </c>
    </row>
    <row r="8" ht="15" customHeight="1" s="20">
      <c r="A8" s="29" t="inlineStr">
        <is>
          <t>Oregon Department of Corrections</t>
        </is>
      </c>
      <c r="B8" s="29" t="inlineStr">
        <is>
          <t>Oregon</t>
        </is>
      </c>
      <c r="C8" s="29" t="inlineStr">
        <is>
          <t>OR</t>
        </is>
      </c>
      <c r="D8" s="29" t="inlineStr">
        <is>
          <t>State</t>
        </is>
      </c>
      <c r="E8" s="29" t="inlineStr">
        <is>
          <t>Todd Bowers</t>
        </is>
      </c>
      <c r="F8" s="29" t="inlineStr">
        <is>
          <t>Paige Wendle</t>
        </is>
      </c>
      <c r="G8" s="39" t="inlineStr">
        <is>
          <t>Paige Wendle</t>
        </is>
      </c>
      <c r="H8" s="29">
        <f>IF(F8="(not in WIP)","New to Enterprise",IF(F8=G8,"No","Yes"))</f>
        <v/>
      </c>
      <c r="I8" s="29">
        <f>IFERROR(INDEX(Lookups!$B$2:$B$14,MATCH(G8,Lookups!$A$2:$A$14,0)),"Not found")</f>
        <v/>
      </c>
      <c r="J8" s="29">
        <f>IFERROR(INDEX(Lookups!$E$2:$E$14,MATCH(G8,Lookups!$A$2:$A$14,0)),"")</f>
        <v/>
      </c>
      <c r="K8" s="39" t="inlineStr">
        <is>
          <t>PT</t>
        </is>
      </c>
      <c r="L8" s="29">
        <f>IF(J8="n/a","n/a",IFERROR(IF(ABS(INDEX(Lookups!$H$2:$H$5,MATCH(J8,Lookups!$G$2:$G$5,0))-INDEX(Lookups!$H$2:$H$5,MATCH(K8,Lookups!$G$2:$G$5,0)))&lt;=1,"Yes","No"),"Check"))</f>
        <v/>
      </c>
      <c r="M8" s="43" t="n">
        <v>72622</v>
      </c>
      <c r="N8" s="29" t="inlineStr">
        <is>
          <t>Yes</t>
        </is>
      </c>
      <c r="O8" s="39" t="n">
        <v>4</v>
      </c>
      <c r="P8" s="27" t="n"/>
      <c r="Q8" s="29">
        <f>IF(N8&lt;&gt;"Yes","n/a",IF(OR(AND(O8&lt;&gt;"",O8&gt;$W$1),P8="Y"),"Yes",IF(O8&lt;&gt;"","No","Pending")))</f>
        <v/>
      </c>
      <c r="R8" s="29" t="n"/>
      <c r="S8" s="29" t="inlineStr">
        <is>
          <t>Paige Wendle</t>
        </is>
      </c>
      <c r="T8" s="29" t="inlineStr">
        <is>
          <t>State</t>
        </is>
      </c>
      <c r="U8" s="29" t="inlineStr">
        <is>
          <t>Email &amp; SMS, Engagement &amp; Sentiment, Public Records Request, Recurring Services</t>
        </is>
      </c>
      <c r="X8" s="19" t="inlineStr">
        <is>
          <t>C</t>
        </is>
      </c>
      <c r="Y8" s="19" t="n">
        <v>42</v>
      </c>
      <c r="Z8" s="44" t="n">
        <v>0.5</v>
      </c>
      <c r="AA8" s="51" t="n">
        <v>0.452</v>
      </c>
      <c r="AB8" s="47" t="n">
        <v>4</v>
      </c>
      <c r="AC8" s="19" t="inlineStr">
        <is>
          <t>Maintain</t>
        </is>
      </c>
      <c r="AD8" s="19" t="n">
        <v>0.3</v>
      </c>
      <c r="AE8" s="19" t="inlineStr">
        <is>
          <t>reported</t>
        </is>
      </c>
    </row>
    <row r="9" ht="15" customHeight="1" s="20">
      <c r="A9" s="29" t="inlineStr">
        <is>
          <t>Oregon Housing and Community Services</t>
        </is>
      </c>
      <c r="B9" s="29" t="inlineStr">
        <is>
          <t>Oregon</t>
        </is>
      </c>
      <c r="C9" s="29" t="inlineStr">
        <is>
          <t>OR</t>
        </is>
      </c>
      <c r="D9" s="29" t="inlineStr">
        <is>
          <t>State</t>
        </is>
      </c>
      <c r="E9" s="29" t="inlineStr">
        <is>
          <t>Todd Bowers</t>
        </is>
      </c>
      <c r="F9" s="29" t="inlineStr">
        <is>
          <t>Paige Wendle</t>
        </is>
      </c>
      <c r="G9" s="39" t="inlineStr">
        <is>
          <t>Paige Wendle</t>
        </is>
      </c>
      <c r="H9" s="29">
        <f>IF(F9="(not in WIP)","New to Enterprise",IF(F9=G9,"No","Yes"))</f>
        <v/>
      </c>
      <c r="I9" s="29">
        <f>IFERROR(INDEX(Lookups!$B$2:$B$14,MATCH(G9,Lookups!$A$2:$A$14,0)),"Not found")</f>
        <v/>
      </c>
      <c r="J9" s="29">
        <f>IFERROR(INDEX(Lookups!$E$2:$E$14,MATCH(G9,Lookups!$A$2:$A$14,0)),"")</f>
        <v/>
      </c>
      <c r="K9" s="39" t="inlineStr">
        <is>
          <t>PT</t>
        </is>
      </c>
      <c r="L9" s="29">
        <f>IF(J9="n/a","n/a",IFERROR(IF(ABS(INDEX(Lookups!$H$2:$H$5,MATCH(J9,Lookups!$G$2:$G$5,0))-INDEX(Lookups!$H$2:$H$5,MATCH(K9,Lookups!$G$2:$G$5,0)))&lt;=1,"Yes","No"),"Check"))</f>
        <v/>
      </c>
      <c r="M9" s="43" t="n">
        <v>64326.23</v>
      </c>
      <c r="N9" s="29" t="inlineStr">
        <is>
          <t>Yes</t>
        </is>
      </c>
      <c r="O9" s="39" t="n">
        <v>2</v>
      </c>
      <c r="P9" s="27" t="n"/>
      <c r="Q9" s="29">
        <f>IF(N9&lt;&gt;"Yes","n/a",IF(OR(AND(O9&lt;&gt;"",O9&gt;$W$1),P9="Y"),"Yes",IF(O9&lt;&gt;"","No","Pending")))</f>
        <v/>
      </c>
      <c r="R9" s="29" t="n"/>
      <c r="S9" s="29" t="inlineStr">
        <is>
          <t>Kerrian Dailey</t>
        </is>
      </c>
      <c r="T9" s="29" t="inlineStr">
        <is>
          <t>State</t>
        </is>
      </c>
      <c r="U9" s="29" t="inlineStr">
        <is>
          <t>Other, Public Records Request</t>
        </is>
      </c>
      <c r="X9" s="19" t="inlineStr">
        <is>
          <t>C</t>
        </is>
      </c>
      <c r="Y9" s="19" t="n">
        <v>42</v>
      </c>
      <c r="Z9" s="44" t="n">
        <v>0.75</v>
      </c>
      <c r="AA9" s="51" t="n">
        <v>0.552</v>
      </c>
      <c r="AB9" s="47" t="n">
        <v>4</v>
      </c>
      <c r="AC9" s="19" t="inlineStr">
        <is>
          <t>Maintain</t>
        </is>
      </c>
      <c r="AD9" s="19" t="n">
        <v>0.3</v>
      </c>
      <c r="AE9" s="19" t="inlineStr">
        <is>
          <t>reported</t>
        </is>
      </c>
    </row>
    <row r="10" ht="15" customHeight="1" s="20">
      <c r="A10" s="29" t="inlineStr">
        <is>
          <t>Oregon Public Utility Commission</t>
        </is>
      </c>
      <c r="B10" s="29" t="inlineStr">
        <is>
          <t>Oregon</t>
        </is>
      </c>
      <c r="C10" s="29" t="inlineStr">
        <is>
          <t>OR</t>
        </is>
      </c>
      <c r="D10" s="29" t="inlineStr">
        <is>
          <t>State</t>
        </is>
      </c>
      <c r="E10" s="29" t="inlineStr">
        <is>
          <t>Todd Bowers</t>
        </is>
      </c>
      <c r="F10" s="29" t="inlineStr">
        <is>
          <t>Paige Wendle</t>
        </is>
      </c>
      <c r="G10" s="39" t="inlineStr">
        <is>
          <t>Paige Wendle</t>
        </is>
      </c>
      <c r="H10" s="29">
        <f>IF(F10="(not in WIP)","New to Enterprise",IF(F10=G10,"No","Yes"))</f>
        <v/>
      </c>
      <c r="I10" s="29">
        <f>IFERROR(INDEX(Lookups!$B$2:$B$14,MATCH(G10,Lookups!$A$2:$A$14,0)),"Not found")</f>
        <v/>
      </c>
      <c r="J10" s="29">
        <f>IFERROR(INDEX(Lookups!$E$2:$E$14,MATCH(G10,Lookups!$A$2:$A$14,0)),"")</f>
        <v/>
      </c>
      <c r="K10" s="39" t="inlineStr">
        <is>
          <t>PT</t>
        </is>
      </c>
      <c r="L10" s="29">
        <f>IF(J10="n/a","n/a",IFERROR(IF(ABS(INDEX(Lookups!$H$2:$H$5,MATCH(J10,Lookups!$G$2:$G$5,0))-INDEX(Lookups!$H$2:$H$5,MATCH(K10,Lookups!$G$2:$G$5,0)))&lt;=1,"Yes","No"),"Check"))</f>
        <v/>
      </c>
      <c r="M10" s="43" t="n">
        <v>52502.57</v>
      </c>
      <c r="N10" s="29" t="inlineStr">
        <is>
          <t>Yes</t>
        </is>
      </c>
      <c r="O10" s="39" t="n">
        <v>2</v>
      </c>
      <c r="P10" s="27" t="n"/>
      <c r="Q10" s="29">
        <f>IF(N10&lt;&gt;"Yes","n/a",IF(OR(AND(O10&lt;&gt;"",O10&gt;$W$1),P10="Y"),"Yes",IF(O10&lt;&gt;"","No","Pending")))</f>
        <v/>
      </c>
      <c r="R10" s="29" t="n"/>
      <c r="S10" s="29" t="inlineStr">
        <is>
          <t>Cody Nichols</t>
        </is>
      </c>
      <c r="T10" s="29" t="inlineStr">
        <is>
          <t>State</t>
        </is>
      </c>
      <c r="U10" s="29" t="inlineStr">
        <is>
          <t>Agenda &amp; Video, Public Records Request</t>
        </is>
      </c>
      <c r="X10" s="19" t="inlineStr">
        <is>
          <t>C</t>
        </is>
      </c>
      <c r="Y10" s="19" t="n">
        <v>42</v>
      </c>
      <c r="Z10" s="44" t="n">
        <v>0.75</v>
      </c>
      <c r="AA10" s="51" t="n">
        <v>0.552</v>
      </c>
      <c r="AB10" s="47" t="n">
        <v>4</v>
      </c>
      <c r="AC10" s="19" t="inlineStr">
        <is>
          <t>Maintain</t>
        </is>
      </c>
      <c r="AD10" s="19" t="n">
        <v>0.3</v>
      </c>
      <c r="AE10" s="19" t="inlineStr">
        <is>
          <t>reported</t>
        </is>
      </c>
    </row>
    <row r="11" ht="15" customHeight="1" s="20">
      <c r="A11" s="29" t="inlineStr">
        <is>
          <t>Oregon Teacher Standards and Practices Commission</t>
        </is>
      </c>
      <c r="B11" s="29" t="inlineStr">
        <is>
          <t>Oregon</t>
        </is>
      </c>
      <c r="C11" s="29" t="inlineStr">
        <is>
          <t>OR</t>
        </is>
      </c>
      <c r="D11" s="29" t="inlineStr">
        <is>
          <t>State</t>
        </is>
      </c>
      <c r="E11" s="29" t="inlineStr">
        <is>
          <t>Todd Bowers</t>
        </is>
      </c>
      <c r="F11" s="29" t="inlineStr">
        <is>
          <t>Paige Wendle</t>
        </is>
      </c>
      <c r="G11" s="39" t="inlineStr">
        <is>
          <t>Paige Wendle</t>
        </is>
      </c>
      <c r="H11" s="29">
        <f>IF(F11="(not in WIP)","New to Enterprise",IF(F11=G11,"No","Yes"))</f>
        <v/>
      </c>
      <c r="I11" s="29">
        <f>IFERROR(INDEX(Lookups!$B$2:$B$14,MATCH(G11,Lookups!$A$2:$A$14,0)),"Not found")</f>
        <v/>
      </c>
      <c r="J11" s="29">
        <f>IFERROR(INDEX(Lookups!$E$2:$E$14,MATCH(G11,Lookups!$A$2:$A$14,0)),"")</f>
        <v/>
      </c>
      <c r="K11" s="39" t="inlineStr">
        <is>
          <t>PT</t>
        </is>
      </c>
      <c r="L11" s="29">
        <f>IF(J11="n/a","n/a",IFERROR(IF(ABS(INDEX(Lookups!$H$2:$H$5,MATCH(J11,Lookups!$G$2:$G$5,0))-INDEX(Lookups!$H$2:$H$5,MATCH(K11,Lookups!$G$2:$G$5,0)))&lt;=1,"Yes","No"),"Check"))</f>
        <v/>
      </c>
      <c r="M11" s="43" t="n">
        <v>42446.25</v>
      </c>
      <c r="N11" s="29" t="inlineStr">
        <is>
          <t>Yes</t>
        </is>
      </c>
      <c r="O11" s="39" t="n">
        <v>4</v>
      </c>
      <c r="P11" s="27" t="n"/>
      <c r="Q11" s="29">
        <f>IF(N11&lt;&gt;"Yes","n/a",IF(OR(AND(O11&lt;&gt;"",O11&gt;$W$1),P11="Y"),"Yes",IF(O11&lt;&gt;"","No","Pending")))</f>
        <v/>
      </c>
      <c r="R11" s="29" t="n"/>
      <c r="S11" s="29" t="inlineStr">
        <is>
          <t>Kristen Murphy</t>
        </is>
      </c>
      <c r="T11" s="29" t="inlineStr">
        <is>
          <t>State</t>
        </is>
      </c>
      <c r="U11" s="29" t="inlineStr">
        <is>
          <t>Email &amp; SMS, Engagement &amp; Sentiment, Recurring Services, govXCloud</t>
        </is>
      </c>
      <c r="X11" s="19" t="inlineStr">
        <is>
          <t>C</t>
        </is>
      </c>
      <c r="Y11" s="19" t="n">
        <v>42</v>
      </c>
      <c r="Z11" s="44" t="n">
        <v>0.5</v>
      </c>
      <c r="AA11" s="51" t="n">
        <v>0.452</v>
      </c>
      <c r="AB11" s="47" t="n">
        <v>4</v>
      </c>
      <c r="AC11" s="19" t="inlineStr">
        <is>
          <t>Maintain</t>
        </is>
      </c>
      <c r="AD11" s="19" t="n">
        <v>0.3</v>
      </c>
      <c r="AE11" s="19" t="inlineStr">
        <is>
          <t>reported</t>
        </is>
      </c>
    </row>
    <row r="12" ht="15" customHeight="1" s="20">
      <c r="A12" s="29" t="inlineStr">
        <is>
          <t>Washington Department of Transportation</t>
        </is>
      </c>
      <c r="B12" s="29" t="inlineStr">
        <is>
          <t>Washington Department of Enterprise Services</t>
        </is>
      </c>
      <c r="C12" s="29" t="inlineStr">
        <is>
          <t>WA</t>
        </is>
      </c>
      <c r="D12" s="29" t="inlineStr">
        <is>
          <t>State</t>
        </is>
      </c>
      <c r="E12" s="29" t="inlineStr">
        <is>
          <t>Todd Bowers</t>
        </is>
      </c>
      <c r="F12" s="29" t="inlineStr">
        <is>
          <t>Paige Wendle</t>
        </is>
      </c>
      <c r="G12" s="39" t="inlineStr">
        <is>
          <t>Paige Wendle</t>
        </is>
      </c>
      <c r="H12" s="29">
        <f>IF(F12="(not in WIP)","New to Enterprise",IF(F12=G12,"No","Yes"))</f>
        <v/>
      </c>
      <c r="I12" s="29">
        <f>IFERROR(INDEX(Lookups!$B$2:$B$14,MATCH(G12,Lookups!$A$2:$A$14,0)),"Not found")</f>
        <v/>
      </c>
      <c r="J12" s="29">
        <f>IFERROR(INDEX(Lookups!$E$2:$E$14,MATCH(G12,Lookups!$A$2:$A$14,0)),"")</f>
        <v/>
      </c>
      <c r="K12" s="39" t="inlineStr">
        <is>
          <t>PT</t>
        </is>
      </c>
      <c r="L12" s="29">
        <f>IF(J12="n/a","n/a",IFERROR(IF(ABS(INDEX(Lookups!$H$2:$H$5,MATCH(J12,Lookups!$G$2:$G$5,0))-INDEX(Lookups!$H$2:$H$5,MATCH(K12,Lookups!$G$2:$G$5,0)))&lt;=1,"Yes","No"),"Check"))</f>
        <v/>
      </c>
      <c r="M12" s="43" t="n">
        <v>301828.73</v>
      </c>
      <c r="N12" s="29" t="inlineStr">
        <is>
          <t>Yes</t>
        </is>
      </c>
      <c r="O12" s="39" t="n">
        <v>4</v>
      </c>
      <c r="P12" s="27" t="n"/>
      <c r="Q12" s="29">
        <f>IF(N12&lt;&gt;"Yes","n/a",IF(OR(AND(O12&lt;&gt;"",O12&gt;$W$1),P12="Y"),"Yes",IF(O12&lt;&gt;"","No","Pending")))</f>
        <v/>
      </c>
      <c r="R12" s="29" t="n"/>
      <c r="S12" s="29" t="inlineStr">
        <is>
          <t>Paige Wendle</t>
        </is>
      </c>
      <c r="T12" s="29" t="inlineStr">
        <is>
          <t>State</t>
        </is>
      </c>
      <c r="U12" s="29" t="inlineStr">
        <is>
          <t>Email &amp; SMS, Engagement &amp; Sentiment, Public Records Request, Recurring Services</t>
        </is>
      </c>
      <c r="X12" s="19" t="inlineStr">
        <is>
          <t>D</t>
        </is>
      </c>
      <c r="Y12" s="19" t="n">
        <v>33.6</v>
      </c>
      <c r="Z12" s="44" t="n">
        <v>0.5</v>
      </c>
      <c r="AA12" s="51" t="n">
        <v>0.4016</v>
      </c>
      <c r="AB12" s="46" t="n">
        <v>3</v>
      </c>
      <c r="AC12" s="19" t="inlineStr">
        <is>
          <t>Defend</t>
        </is>
      </c>
      <c r="AD12" s="19" t="n">
        <v>0.5</v>
      </c>
      <c r="AE12" s="19" t="inlineStr">
        <is>
          <t>reported</t>
        </is>
      </c>
    </row>
    <row r="13" ht="15" customHeight="1" s="20">
      <c r="A13" s="29" t="inlineStr">
        <is>
          <t>Washington State Department of Health</t>
        </is>
      </c>
      <c r="B13" s="29" t="inlineStr">
        <is>
          <t>Washington Department of Enterprise Services</t>
        </is>
      </c>
      <c r="C13" s="29" t="inlineStr">
        <is>
          <t>WA</t>
        </is>
      </c>
      <c r="D13" s="29" t="inlineStr">
        <is>
          <t>State</t>
        </is>
      </c>
      <c r="E13" s="29" t="inlineStr">
        <is>
          <t>Todd Bowers</t>
        </is>
      </c>
      <c r="F13" s="29" t="inlineStr">
        <is>
          <t>Paige Wendle</t>
        </is>
      </c>
      <c r="G13" s="39" t="inlineStr">
        <is>
          <t>Paige Wendle</t>
        </is>
      </c>
      <c r="H13" s="29">
        <f>IF(F13="(not in WIP)","New to Enterprise",IF(F13=G13,"No","Yes"))</f>
        <v/>
      </c>
      <c r="I13" s="29">
        <f>IFERROR(INDEX(Lookups!$B$2:$B$14,MATCH(G13,Lookups!$A$2:$A$14,0)),"Not found")</f>
        <v/>
      </c>
      <c r="J13" s="29">
        <f>IFERROR(INDEX(Lookups!$E$2:$E$14,MATCH(G13,Lookups!$A$2:$A$14,0)),"")</f>
        <v/>
      </c>
      <c r="K13" s="39" t="inlineStr">
        <is>
          <t>PT</t>
        </is>
      </c>
      <c r="L13" s="29">
        <f>IF(J13="n/a","n/a",IFERROR(IF(ABS(INDEX(Lookups!$H$2:$H$5,MATCH(J13,Lookups!$G$2:$G$5,0))-INDEX(Lookups!$H$2:$H$5,MATCH(K13,Lookups!$G$2:$G$5,0)))&lt;=1,"Yes","No"),"Check"))</f>
        <v/>
      </c>
      <c r="M13" s="43" t="n">
        <v>296031.42</v>
      </c>
      <c r="N13" s="29" t="inlineStr">
        <is>
          <t>Yes</t>
        </is>
      </c>
      <c r="O13" s="39" t="n">
        <v>2</v>
      </c>
      <c r="P13" s="27" t="n"/>
      <c r="Q13" s="29">
        <f>IF(N13&lt;&gt;"Yes","n/a",IF(OR(AND(O13&lt;&gt;"",O13&gt;$W$1),P13="Y"),"Yes",IF(O13&lt;&gt;"","No","Pending")))</f>
        <v/>
      </c>
      <c r="R13" s="29" t="n"/>
      <c r="S13" s="29" t="inlineStr">
        <is>
          <t>Paige Wendle</t>
        </is>
      </c>
      <c r="T13" s="29" t="inlineStr">
        <is>
          <t>State</t>
        </is>
      </c>
      <c r="U13" s="29" t="inlineStr">
        <is>
          <t>Email &amp; SMS, Public Records Request</t>
        </is>
      </c>
      <c r="X13" s="19" t="inlineStr">
        <is>
          <t>D</t>
        </is>
      </c>
      <c r="Y13" s="19" t="n">
        <v>33.6</v>
      </c>
      <c r="Z13" s="44" t="n">
        <v>0.75</v>
      </c>
      <c r="AA13" s="51" t="n">
        <v>0.5016</v>
      </c>
      <c r="AB13" s="46" t="n">
        <v>3</v>
      </c>
      <c r="AC13" s="19" t="inlineStr">
        <is>
          <t>Defend</t>
        </is>
      </c>
      <c r="AD13" s="19" t="n">
        <v>0.5</v>
      </c>
      <c r="AE13" s="19" t="inlineStr">
        <is>
          <t>reported</t>
        </is>
      </c>
    </row>
    <row r="14" ht="15" customHeight="1" s="20">
      <c r="A14" s="29" t="inlineStr">
        <is>
          <t>Washington State Patrol</t>
        </is>
      </c>
      <c r="B14" s="29" t="inlineStr">
        <is>
          <t>Washington Department of Enterprise Services</t>
        </is>
      </c>
      <c r="C14" s="29" t="inlineStr">
        <is>
          <t>WA</t>
        </is>
      </c>
      <c r="D14" s="29" t="inlineStr">
        <is>
          <t>State</t>
        </is>
      </c>
      <c r="E14" s="29" t="inlineStr">
        <is>
          <t>Todd Bowers</t>
        </is>
      </c>
      <c r="F14" s="29" t="inlineStr">
        <is>
          <t>Paige Wendle</t>
        </is>
      </c>
      <c r="G14" s="39" t="inlineStr">
        <is>
          <t>Paige Wendle</t>
        </is>
      </c>
      <c r="H14" s="29">
        <f>IF(F14="(not in WIP)","New to Enterprise",IF(F14=G14,"No","Yes"))</f>
        <v/>
      </c>
      <c r="I14" s="29">
        <f>IFERROR(INDEX(Lookups!$B$2:$B$14,MATCH(G14,Lookups!$A$2:$A$14,0)),"Not found")</f>
        <v/>
      </c>
      <c r="J14" s="29">
        <f>IFERROR(INDEX(Lookups!$E$2:$E$14,MATCH(G14,Lookups!$A$2:$A$14,0)),"")</f>
        <v/>
      </c>
      <c r="K14" s="39" t="inlineStr">
        <is>
          <t>PT</t>
        </is>
      </c>
      <c r="L14" s="29">
        <f>IF(J14="n/a","n/a",IFERROR(IF(ABS(INDEX(Lookups!$H$2:$H$5,MATCH(J14,Lookups!$G$2:$G$5,0))-INDEX(Lookups!$H$2:$H$5,MATCH(K14,Lookups!$G$2:$G$5,0)))&lt;=1,"Yes","No"),"Check"))</f>
        <v/>
      </c>
      <c r="M14" s="43" t="n">
        <v>209512.36</v>
      </c>
      <c r="N14" s="29" t="inlineStr">
        <is>
          <t>Yes</t>
        </is>
      </c>
      <c r="O14" s="39" t="n">
        <v>3</v>
      </c>
      <c r="P14" s="27" t="n"/>
      <c r="Q14" s="29">
        <f>IF(N14&lt;&gt;"Yes","n/a",IF(OR(AND(O14&lt;&gt;"",O14&gt;$W$1),P14="Y"),"Yes",IF(O14&lt;&gt;"","No","Pending")))</f>
        <v/>
      </c>
      <c r="R14" s="29" t="n"/>
      <c r="S14" s="29" t="inlineStr">
        <is>
          <t>Paige Wendle</t>
        </is>
      </c>
      <c r="T14" s="29" t="inlineStr">
        <is>
          <t>State</t>
        </is>
      </c>
      <c r="U14" s="29" t="inlineStr">
        <is>
          <t>Other, Public Records Request, Short-term Rentals</t>
        </is>
      </c>
      <c r="X14" s="19" t="inlineStr">
        <is>
          <t>D</t>
        </is>
      </c>
      <c r="Y14" s="19" t="n">
        <v>33.6</v>
      </c>
      <c r="Z14" s="44" t="n">
        <v>0.625</v>
      </c>
      <c r="AA14" s="51" t="n">
        <v>0.4516</v>
      </c>
      <c r="AB14" s="46" t="n">
        <v>3</v>
      </c>
      <c r="AC14" s="19" t="inlineStr">
        <is>
          <t>Defend</t>
        </is>
      </c>
      <c r="AD14" s="19" t="n">
        <v>0.5</v>
      </c>
      <c r="AE14" s="19" t="inlineStr">
        <is>
          <t>reported</t>
        </is>
      </c>
    </row>
    <row r="15" ht="15" customHeight="1" s="20">
      <c r="A15" s="29" t="inlineStr">
        <is>
          <t>Washington Department of Corrections</t>
        </is>
      </c>
      <c r="B15" s="29" t="inlineStr">
        <is>
          <t>Washington Department of Enterprise Services</t>
        </is>
      </c>
      <c r="C15" s="29" t="inlineStr">
        <is>
          <t>WA</t>
        </is>
      </c>
      <c r="D15" s="29" t="inlineStr">
        <is>
          <t>State</t>
        </is>
      </c>
      <c r="E15" s="29" t="inlineStr">
        <is>
          <t>Todd Bowers</t>
        </is>
      </c>
      <c r="F15" s="29" t="inlineStr">
        <is>
          <t>Paige Wendle</t>
        </is>
      </c>
      <c r="G15" s="39" t="inlineStr">
        <is>
          <t>Paige Wendle</t>
        </is>
      </c>
      <c r="H15" s="29">
        <f>IF(F15="(not in WIP)","New to Enterprise",IF(F15=G15,"No","Yes"))</f>
        <v/>
      </c>
      <c r="I15" s="29">
        <f>IFERROR(INDEX(Lookups!$B$2:$B$14,MATCH(G15,Lookups!$A$2:$A$14,0)),"Not found")</f>
        <v/>
      </c>
      <c r="J15" s="29">
        <f>IFERROR(INDEX(Lookups!$E$2:$E$14,MATCH(G15,Lookups!$A$2:$A$14,0)),"")</f>
        <v/>
      </c>
      <c r="K15" s="39" t="inlineStr">
        <is>
          <t>PT</t>
        </is>
      </c>
      <c r="L15" s="29">
        <f>IF(J15="n/a","n/a",IFERROR(IF(ABS(INDEX(Lookups!$H$2:$H$5,MATCH(J15,Lookups!$G$2:$G$5,0))-INDEX(Lookups!$H$2:$H$5,MATCH(K15,Lookups!$G$2:$G$5,0)))&lt;=1,"Yes","No"),"Check"))</f>
        <v/>
      </c>
      <c r="M15" s="43" t="n">
        <v>139794.28</v>
      </c>
      <c r="N15" s="29" t="inlineStr">
        <is>
          <t>Yes</t>
        </is>
      </c>
      <c r="O15" s="39" t="n">
        <v>1</v>
      </c>
      <c r="P15" s="27" t="n"/>
      <c r="Q15" s="29">
        <f>IF(N15&lt;&gt;"Yes","n/a",IF(OR(AND(O15&lt;&gt;"",O15&gt;$W$1),P15="Y"),"Yes",IF(O15&lt;&gt;"","No","Pending")))</f>
        <v/>
      </c>
      <c r="R15" s="29" t="n"/>
      <c r="S15" s="29" t="inlineStr">
        <is>
          <t>Natalia Sanchez</t>
        </is>
      </c>
      <c r="T15" s="29" t="inlineStr">
        <is>
          <t>State</t>
        </is>
      </c>
      <c r="U15" s="29" t="inlineStr">
        <is>
          <t>Public Records Request</t>
        </is>
      </c>
      <c r="X15" s="19" t="inlineStr">
        <is>
          <t>D</t>
        </is>
      </c>
      <c r="Y15" s="19" t="n">
        <v>33.6</v>
      </c>
      <c r="Z15" s="44" t="n">
        <v>0.875</v>
      </c>
      <c r="AA15" s="51" t="n">
        <v>0.5516</v>
      </c>
      <c r="AB15" s="46" t="n">
        <v>3</v>
      </c>
      <c r="AC15" s="19" t="inlineStr">
        <is>
          <t>Defend</t>
        </is>
      </c>
      <c r="AD15" s="19" t="n">
        <v>0.5</v>
      </c>
      <c r="AE15" s="19" t="inlineStr">
        <is>
          <t>reported</t>
        </is>
      </c>
    </row>
    <row r="16" ht="15" customHeight="1" s="20">
      <c r="A16" s="29" t="inlineStr">
        <is>
          <t>Washington Military Department</t>
        </is>
      </c>
      <c r="B16" s="29" t="inlineStr">
        <is>
          <t>Department of Defense (DoD)</t>
        </is>
      </c>
      <c r="C16" s="29" t="inlineStr">
        <is>
          <t>WA</t>
        </is>
      </c>
      <c r="D16" s="29" t="inlineStr">
        <is>
          <t>State</t>
        </is>
      </c>
      <c r="E16" s="29" t="inlineStr">
        <is>
          <t>Todd Bowers</t>
        </is>
      </c>
      <c r="F16" s="29" t="inlineStr">
        <is>
          <t>Paige Wendle</t>
        </is>
      </c>
      <c r="G16" s="39" t="inlineStr">
        <is>
          <t>Paige Wendle</t>
        </is>
      </c>
      <c r="H16" s="29">
        <f>IF(F16="(not in WIP)","New to Enterprise",IF(F16=G16,"No","Yes"))</f>
        <v/>
      </c>
      <c r="I16" s="29">
        <f>IFERROR(INDEX(Lookups!$B$2:$B$14,MATCH(G16,Lookups!$A$2:$A$14,0)),"Not found")</f>
        <v/>
      </c>
      <c r="J16" s="29">
        <f>IFERROR(INDEX(Lookups!$E$2:$E$14,MATCH(G16,Lookups!$A$2:$A$14,0)),"")</f>
        <v/>
      </c>
      <c r="K16" s="39" t="inlineStr">
        <is>
          <t>PT</t>
        </is>
      </c>
      <c r="L16" s="29">
        <f>IF(J16="n/a","n/a",IFERROR(IF(ABS(INDEX(Lookups!$H$2:$H$5,MATCH(J16,Lookups!$G$2:$G$5,0))-INDEX(Lookups!$H$2:$H$5,MATCH(K16,Lookups!$G$2:$G$5,0)))&lt;=1,"Yes","No"),"Check"))</f>
        <v/>
      </c>
      <c r="M16" s="43" t="n">
        <v>46846.63</v>
      </c>
      <c r="N16" s="29" t="inlineStr">
        <is>
          <t>Yes</t>
        </is>
      </c>
      <c r="O16" s="39" t="n">
        <v>2</v>
      </c>
      <c r="P16" s="27" t="n"/>
      <c r="Q16" s="29">
        <f>IF(N16&lt;&gt;"Yes","n/a",IF(OR(AND(O16&lt;&gt;"",O16&gt;$W$1),P16="Y"),"Yes",IF(O16&lt;&gt;"","No","Pending")))</f>
        <v/>
      </c>
      <c r="R16" s="29" t="n"/>
      <c r="S16" s="29" t="inlineStr">
        <is>
          <t>Andrés Pérez</t>
        </is>
      </c>
      <c r="T16" s="29" t="inlineStr">
        <is>
          <t>State</t>
        </is>
      </c>
      <c r="U16" s="29" t="inlineStr">
        <is>
          <t>Email &amp; SMS, Public Records Request</t>
        </is>
      </c>
      <c r="X16" s="19" t="inlineStr">
        <is>
          <t>D</t>
        </is>
      </c>
      <c r="Y16" s="19" t="n">
        <v>33.6</v>
      </c>
      <c r="Z16" s="44" t="n">
        <v>0.75</v>
      </c>
      <c r="AA16" s="51" t="n">
        <v>0.5016</v>
      </c>
      <c r="AB16" s="47" t="n">
        <v>4</v>
      </c>
      <c r="AC16" s="19" t="inlineStr">
        <is>
          <t>Maintain</t>
        </is>
      </c>
      <c r="AD16" s="19" t="n">
        <v>0.3</v>
      </c>
      <c r="AE16" s="19" t="inlineStr">
        <is>
          <t>reported</t>
        </is>
      </c>
    </row>
    <row r="17" ht="15" customHeight="1" s="20">
      <c r="A17" s="29" t="inlineStr">
        <is>
          <t>Los Angeles, CA</t>
        </is>
      </c>
      <c r="B17" s="29" t="inlineStr">
        <is>
          <t>Los Angeles, CA</t>
        </is>
      </c>
      <c r="C17" s="29" t="inlineStr">
        <is>
          <t>CA</t>
        </is>
      </c>
      <c r="D17" s="29" t="inlineStr">
        <is>
          <t>Local ENT</t>
        </is>
      </c>
      <c r="E17" s="29" t="inlineStr">
        <is>
          <t>Jeff Gaisford</t>
        </is>
      </c>
      <c r="F17" s="29" t="inlineStr">
        <is>
          <t>Colleen Moran</t>
        </is>
      </c>
      <c r="G17" s="39" t="inlineStr">
        <is>
          <t>Colleen Moran</t>
        </is>
      </c>
      <c r="H17" s="29">
        <f>IF(F17="(not in WIP)","New to Enterprise",IF(F17=G17,"No","Yes"))</f>
        <v/>
      </c>
      <c r="I17" s="29">
        <f>IFERROR(INDEX(Lookups!$B$2:$B$14,MATCH(G17,Lookups!$A$2:$A$14,0)),"Not found")</f>
        <v/>
      </c>
      <c r="J17" s="29">
        <f>IFERROR(INDEX(Lookups!$E$2:$E$14,MATCH(G17,Lookups!$A$2:$A$14,0)),"")</f>
        <v/>
      </c>
      <c r="K17" s="39" t="inlineStr">
        <is>
          <t>PT</t>
        </is>
      </c>
      <c r="L17" s="29">
        <f>IF(J17="n/a","n/a",IFERROR(IF(ABS(INDEX(Lookups!$H$2:$H$5,MATCH(J17,Lookups!$G$2:$G$5,0))-INDEX(Lookups!$H$2:$H$5,MATCH(K17,Lookups!$G$2:$G$5,0)))&lt;=1,"Yes","No"),"Check"))</f>
        <v/>
      </c>
      <c r="M17" s="43" t="n">
        <v>1766256.38</v>
      </c>
      <c r="N17" s="29" t="inlineStr">
        <is>
          <t>Yes</t>
        </is>
      </c>
      <c r="O17" s="39" t="n">
        <v>6</v>
      </c>
      <c r="P17" s="27" t="n"/>
      <c r="Q17" s="29">
        <f>IF(N17&lt;&gt;"Yes","n/a",IF(OR(AND(O17&lt;&gt;"",O17&gt;$W$1),P17="Y"),"Yes",IF(O17&lt;&gt;"","No","Pending")))</f>
        <v/>
      </c>
      <c r="R17" s="29" t="n"/>
      <c r="S17" s="29" t="inlineStr">
        <is>
          <t>Savannah Lane</t>
        </is>
      </c>
      <c r="T17" s="29" t="inlineStr">
        <is>
          <t>Local ENT</t>
        </is>
      </c>
      <c r="U17" s="29" t="inlineStr">
        <is>
          <t>Agenda &amp; Video, Forms &amp; Workflows, Land &amp; Vitals, Public Records Request, Short-term Rentals, Websites, Portals, &amp; Intranets</t>
        </is>
      </c>
      <c r="X17" s="19" t="inlineStr">
        <is>
          <t>A</t>
        </is>
      </c>
      <c r="Y17" s="19" t="n">
        <v>62.3</v>
      </c>
      <c r="Z17" s="44" t="n">
        <v>0.25</v>
      </c>
      <c r="AA17" s="51" t="n">
        <v>0.4738</v>
      </c>
      <c r="AB17" s="46" t="n">
        <v>3</v>
      </c>
      <c r="AC17" s="19" t="inlineStr">
        <is>
          <t>Defend</t>
        </is>
      </c>
      <c r="AD17" s="19" t="n">
        <v>0.5</v>
      </c>
      <c r="AE17" s="19" t="inlineStr">
        <is>
          <t>reported</t>
        </is>
      </c>
    </row>
    <row r="18" ht="15" customHeight="1" s="20">
      <c r="A18" s="29" t="inlineStr">
        <is>
          <t>Sonoma County CA</t>
        </is>
      </c>
      <c r="B18" s="29" t="inlineStr">
        <is>
          <t>Sonoma County CA</t>
        </is>
      </c>
      <c r="C18" s="29" t="inlineStr">
        <is>
          <t>CA</t>
        </is>
      </c>
      <c r="D18" s="29" t="inlineStr">
        <is>
          <t>Local ENT</t>
        </is>
      </c>
      <c r="E18" s="29" t="inlineStr">
        <is>
          <t>Jason Spanier</t>
        </is>
      </c>
      <c r="F18" s="29" t="inlineStr">
        <is>
          <t>Colleen Moran</t>
        </is>
      </c>
      <c r="G18" s="39" t="inlineStr">
        <is>
          <t>Colleen Moran</t>
        </is>
      </c>
      <c r="H18" s="29">
        <f>IF(F18="(not in WIP)","New to Enterprise",IF(F18=G18,"No","Yes"))</f>
        <v/>
      </c>
      <c r="I18" s="29">
        <f>IFERROR(INDEX(Lookups!$B$2:$B$14,MATCH(G18,Lookups!$A$2:$A$14,0)),"Not found")</f>
        <v/>
      </c>
      <c r="J18" s="29">
        <f>IFERROR(INDEX(Lookups!$E$2:$E$14,MATCH(G18,Lookups!$A$2:$A$14,0)),"")</f>
        <v/>
      </c>
      <c r="K18" s="39" t="inlineStr">
        <is>
          <t>PT</t>
        </is>
      </c>
      <c r="L18" s="29">
        <f>IF(J18="n/a","n/a",IFERROR(IF(ABS(INDEX(Lookups!$H$2:$H$5,MATCH(J18,Lookups!$G$2:$G$5,0))-INDEX(Lookups!$H$2:$H$5,MATCH(K18,Lookups!$G$2:$G$5,0)))&lt;=1,"Yes","No"),"Check"))</f>
        <v/>
      </c>
      <c r="M18" s="43" t="n">
        <v>352515.34</v>
      </c>
      <c r="N18" s="29" t="inlineStr">
        <is>
          <t>Yes</t>
        </is>
      </c>
      <c r="O18" s="39" t="n">
        <v>3</v>
      </c>
      <c r="P18" s="27" t="n"/>
      <c r="Q18" s="29">
        <f>IF(N18&lt;&gt;"Yes","n/a",IF(OR(AND(O18&lt;&gt;"",O18&gt;$W$1),P18="Y"),"Yes",IF(O18&lt;&gt;"","No","Pending")))</f>
        <v/>
      </c>
      <c r="R18" s="29" t="n"/>
      <c r="S18" s="29" t="inlineStr">
        <is>
          <t>Alejandro Solano</t>
        </is>
      </c>
      <c r="T18" s="29" t="inlineStr">
        <is>
          <t>Local ENT</t>
        </is>
      </c>
      <c r="U18" s="29" t="inlineStr">
        <is>
          <t>Agenda &amp; Video, Email &amp; SMS, Land &amp; Vitals</t>
        </is>
      </c>
      <c r="X18" s="19" t="inlineStr">
        <is>
          <t>A</t>
        </is>
      </c>
      <c r="Y18" s="19" t="n">
        <v>62.3</v>
      </c>
      <c r="Z18" s="44" t="n">
        <v>0.625</v>
      </c>
      <c r="AA18" s="51" t="n">
        <v>0.6238</v>
      </c>
      <c r="AB18" s="48" t="n">
        <v>1</v>
      </c>
      <c r="AC18" s="19" t="inlineStr">
        <is>
          <t>Growth engine</t>
        </is>
      </c>
      <c r="AD18" s="19" t="n">
        <v>1</v>
      </c>
      <c r="AE18" s="19" t="inlineStr">
        <is>
          <t>reported</t>
        </is>
      </c>
    </row>
    <row r="19" ht="15" customHeight="1" s="20">
      <c r="A19" s="29" t="inlineStr">
        <is>
          <t>Los Angeles County CA, Board of Supervisors</t>
        </is>
      </c>
      <c r="B19" s="29" t="inlineStr">
        <is>
          <t>Los Angeles County CA</t>
        </is>
      </c>
      <c r="C19" s="29" t="inlineStr">
        <is>
          <t>CA</t>
        </is>
      </c>
      <c r="D19" s="29" t="inlineStr">
        <is>
          <t>Local ENT</t>
        </is>
      </c>
      <c r="E19" s="29" t="inlineStr">
        <is>
          <t>Jeff Gaisford</t>
        </is>
      </c>
      <c r="F19" s="29" t="inlineStr">
        <is>
          <t>Colleen Moran</t>
        </is>
      </c>
      <c r="G19" s="39" t="inlineStr">
        <is>
          <t>Colleen Moran</t>
        </is>
      </c>
      <c r="H19" s="29">
        <f>IF(F19="(not in WIP)","New to Enterprise",IF(F19=G19,"No","Yes"))</f>
        <v/>
      </c>
      <c r="I19" s="29">
        <f>IFERROR(INDEX(Lookups!$B$2:$B$14,MATCH(G19,Lookups!$A$2:$A$14,0)),"Not found")</f>
        <v/>
      </c>
      <c r="J19" s="29">
        <f>IFERROR(INDEX(Lookups!$E$2:$E$14,MATCH(G19,Lookups!$A$2:$A$14,0)),"")</f>
        <v/>
      </c>
      <c r="K19" s="39" t="inlineStr">
        <is>
          <t>PT</t>
        </is>
      </c>
      <c r="L19" s="29">
        <f>IF(J19="n/a","n/a",IFERROR(IF(ABS(INDEX(Lookups!$H$2:$H$5,MATCH(J19,Lookups!$G$2:$G$5,0))-INDEX(Lookups!$H$2:$H$5,MATCH(K19,Lookups!$G$2:$G$5,0)))&lt;=1,"Yes","No"),"Check"))</f>
        <v/>
      </c>
      <c r="M19" s="43" t="n">
        <v>304952.83</v>
      </c>
      <c r="N19" s="29" t="inlineStr">
        <is>
          <t>Yes</t>
        </is>
      </c>
      <c r="O19" s="39" t="n">
        <v>3</v>
      </c>
      <c r="P19" s="27" t="n"/>
      <c r="Q19" s="29">
        <f>IF(N19&lt;&gt;"Yes","n/a",IF(OR(AND(O19&lt;&gt;"",O19&gt;$W$1),P19="Y"),"Yes",IF(O19&lt;&gt;"","No","Pending")))</f>
        <v/>
      </c>
      <c r="R19" s="29" t="n"/>
      <c r="S19" s="29" t="inlineStr">
        <is>
          <t>Colleen Moran</t>
        </is>
      </c>
      <c r="T19" s="29" t="inlineStr">
        <is>
          <t>Local ENT</t>
        </is>
      </c>
      <c r="U19" s="29" t="inlineStr">
        <is>
          <t>Agenda &amp; Video, Land &amp; Vitals, Public Records Request</t>
        </is>
      </c>
      <c r="X19" s="19" t="inlineStr">
        <is>
          <t>A</t>
        </is>
      </c>
      <c r="Y19" s="19" t="n">
        <v>62.3</v>
      </c>
      <c r="Z19" s="44" t="n">
        <v>0.625</v>
      </c>
      <c r="AA19" s="51" t="n">
        <v>0.6238</v>
      </c>
      <c r="AB19" s="48" t="n">
        <v>1</v>
      </c>
      <c r="AC19" s="19" t="inlineStr">
        <is>
          <t>Growth engine</t>
        </is>
      </c>
      <c r="AD19" s="19" t="n">
        <v>1</v>
      </c>
      <c r="AE19" s="19" t="inlineStr">
        <is>
          <t>reported</t>
        </is>
      </c>
    </row>
    <row r="20" ht="15" customHeight="1" s="20">
      <c r="A20" s="29" t="inlineStr">
        <is>
          <t>Greater Los Angeles County Vector Control District CA</t>
        </is>
      </c>
      <c r="B20" s="29" t="inlineStr">
        <is>
          <t>Los Angeles County CA</t>
        </is>
      </c>
      <c r="C20" s="29" t="inlineStr">
        <is>
          <t>CA</t>
        </is>
      </c>
      <c r="D20" s="29" t="inlineStr">
        <is>
          <t>Local ENT</t>
        </is>
      </c>
      <c r="E20" s="29" t="inlineStr">
        <is>
          <t>Jeff Gaisford</t>
        </is>
      </c>
      <c r="F20" s="29" t="inlineStr">
        <is>
          <t>Colleen Moran</t>
        </is>
      </c>
      <c r="G20" s="39" t="inlineStr">
        <is>
          <t>Colleen Moran</t>
        </is>
      </c>
      <c r="H20" s="29">
        <f>IF(F20="(not in WIP)","New to Enterprise",IF(F20=G20,"No","Yes"))</f>
        <v/>
      </c>
      <c r="I20" s="29">
        <f>IFERROR(INDEX(Lookups!$B$2:$B$14,MATCH(G20,Lookups!$A$2:$A$14,0)),"Not found")</f>
        <v/>
      </c>
      <c r="J20" s="29">
        <f>IFERROR(INDEX(Lookups!$E$2:$E$14,MATCH(G20,Lookups!$A$2:$A$14,0)),"")</f>
        <v/>
      </c>
      <c r="K20" s="39" t="inlineStr">
        <is>
          <t>PT</t>
        </is>
      </c>
      <c r="L20" s="29">
        <f>IF(J20="n/a","n/a",IFERROR(IF(ABS(INDEX(Lookups!$H$2:$H$5,MATCH(J20,Lookups!$G$2:$G$5,0))-INDEX(Lookups!$H$2:$H$5,MATCH(K20,Lookups!$G$2:$G$5,0)))&lt;=1,"Yes","No"),"Check"))</f>
        <v/>
      </c>
      <c r="M20" s="43" t="n">
        <v>219254.95</v>
      </c>
      <c r="N20" s="29" t="inlineStr">
        <is>
          <t>Yes</t>
        </is>
      </c>
      <c r="O20" s="39" t="n">
        <v>4</v>
      </c>
      <c r="P20" s="27" t="n"/>
      <c r="Q20" s="29">
        <f>IF(N20&lt;&gt;"Yes","n/a",IF(OR(AND(O20&lt;&gt;"",O20&gt;$W$1),P20="Y"),"Yes",IF(O20&lt;&gt;"","No","Pending")))</f>
        <v/>
      </c>
      <c r="R20" s="29" t="n"/>
      <c r="S20" s="29" t="inlineStr">
        <is>
          <t>Colleen Moran</t>
        </is>
      </c>
      <c r="T20" s="29" t="inlineStr">
        <is>
          <t>Local ENT</t>
        </is>
      </c>
      <c r="U20" s="29" t="inlineStr">
        <is>
          <t>Channel Shift, Email &amp; SMS, Engagement &amp; Sentiment, Recurring Services</t>
        </is>
      </c>
      <c r="X20" s="19" t="inlineStr">
        <is>
          <t>A</t>
        </is>
      </c>
      <c r="Y20" s="19" t="n">
        <v>62.3</v>
      </c>
      <c r="Z20" s="44" t="n">
        <v>0.5</v>
      </c>
      <c r="AA20" s="51" t="n">
        <v>0.5738</v>
      </c>
      <c r="AB20" s="46" t="n">
        <v>3</v>
      </c>
      <c r="AC20" s="19" t="inlineStr">
        <is>
          <t>Defend</t>
        </is>
      </c>
      <c r="AD20" s="19" t="n">
        <v>0.5</v>
      </c>
      <c r="AE20" s="19" t="inlineStr">
        <is>
          <t>reported</t>
        </is>
      </c>
    </row>
    <row r="21" ht="15" customHeight="1" s="20">
      <c r="A21" s="29" t="inlineStr">
        <is>
          <t>Riverside County CA</t>
        </is>
      </c>
      <c r="B21" s="29" t="inlineStr">
        <is>
          <t>Riverside County CA</t>
        </is>
      </c>
      <c r="C21" s="29" t="inlineStr">
        <is>
          <t>CA</t>
        </is>
      </c>
      <c r="D21" s="29" t="inlineStr">
        <is>
          <t>Local ENT</t>
        </is>
      </c>
      <c r="E21" s="29" t="inlineStr">
        <is>
          <t>Jason Spanier</t>
        </is>
      </c>
      <c r="F21" s="29" t="inlineStr">
        <is>
          <t>Colleen Moran</t>
        </is>
      </c>
      <c r="G21" s="39" t="inlineStr">
        <is>
          <t>Colleen Moran</t>
        </is>
      </c>
      <c r="H21" s="29">
        <f>IF(F21="(not in WIP)","New to Enterprise",IF(F21=G21,"No","Yes"))</f>
        <v/>
      </c>
      <c r="I21" s="29">
        <f>IFERROR(INDEX(Lookups!$B$2:$B$14,MATCH(G21,Lookups!$A$2:$A$14,0)),"Not found")</f>
        <v/>
      </c>
      <c r="J21" s="29">
        <f>IFERROR(INDEX(Lookups!$E$2:$E$14,MATCH(G21,Lookups!$A$2:$A$14,0)),"")</f>
        <v/>
      </c>
      <c r="K21" s="39" t="inlineStr">
        <is>
          <t>PT</t>
        </is>
      </c>
      <c r="L21" s="29">
        <f>IF(J21="n/a","n/a",IFERROR(IF(ABS(INDEX(Lookups!$H$2:$H$5,MATCH(J21,Lookups!$G$2:$G$5,0))-INDEX(Lookups!$H$2:$H$5,MATCH(K21,Lookups!$G$2:$G$5,0)))&lt;=1,"Yes","No"),"Check"))</f>
        <v/>
      </c>
      <c r="M21" s="43" t="n">
        <v>216678.09</v>
      </c>
      <c r="N21" s="29" t="inlineStr">
        <is>
          <t>Yes</t>
        </is>
      </c>
      <c r="O21" s="39" t="n">
        <v>2</v>
      </c>
      <c r="P21" s="27" t="n"/>
      <c r="Q21" s="29">
        <f>IF(N21&lt;&gt;"Yes","n/a",IF(OR(AND(O21&lt;&gt;"",O21&gt;$W$1),P21="Y"),"Yes",IF(O21&lt;&gt;"","No","Pending")))</f>
        <v/>
      </c>
      <c r="R21" s="29" t="n"/>
      <c r="S21" s="29" t="inlineStr">
        <is>
          <t>Steffany Amador</t>
        </is>
      </c>
      <c r="T21" s="29" t="inlineStr">
        <is>
          <t>Local ENT</t>
        </is>
      </c>
      <c r="U21" s="29" t="inlineStr">
        <is>
          <t>Agenda &amp; Video, Email &amp; SMS</t>
        </is>
      </c>
      <c r="X21" s="19" t="inlineStr">
        <is>
          <t>A</t>
        </is>
      </c>
      <c r="Y21" s="19" t="n">
        <v>62.3</v>
      </c>
      <c r="Z21" s="44" t="n">
        <v>0.75</v>
      </c>
      <c r="AA21" s="51" t="n">
        <v>0.6738</v>
      </c>
      <c r="AB21" s="48" t="n">
        <v>1</v>
      </c>
      <c r="AC21" s="19" t="inlineStr">
        <is>
          <t>Growth engine</t>
        </is>
      </c>
      <c r="AD21" s="19" t="n">
        <v>1</v>
      </c>
      <c r="AE21" s="19" t="inlineStr">
        <is>
          <t>reported</t>
        </is>
      </c>
    </row>
    <row r="22" ht="15" customHeight="1" s="20">
      <c r="A22" s="29" t="inlineStr">
        <is>
          <t>Metropolitan Water District of Southern California</t>
        </is>
      </c>
      <c r="B22" s="29" t="inlineStr">
        <is>
          <t>Los Angeles County CA</t>
        </is>
      </c>
      <c r="C22" s="29" t="inlineStr">
        <is>
          <t>CA</t>
        </is>
      </c>
      <c r="D22" s="29" t="inlineStr">
        <is>
          <t>Local ENT</t>
        </is>
      </c>
      <c r="E22" s="29" t="inlineStr">
        <is>
          <t>Jeff Gaisford</t>
        </is>
      </c>
      <c r="F22" s="29" t="inlineStr">
        <is>
          <t>(not in WIP)</t>
        </is>
      </c>
      <c r="G22" s="39" t="inlineStr">
        <is>
          <t>Colleen Moran</t>
        </is>
      </c>
      <c r="H22" s="29">
        <f>IF(F22="(not in WIP)","New to Enterprise",IF(F22=G22,"No","Yes"))</f>
        <v/>
      </c>
      <c r="I22" s="29">
        <f>IFERROR(INDEX(Lookups!$B$2:$B$14,MATCH(G22,Lookups!$A$2:$A$14,0)),"Not found")</f>
        <v/>
      </c>
      <c r="J22" s="29">
        <f>IFERROR(INDEX(Lookups!$E$2:$E$14,MATCH(G22,Lookups!$A$2:$A$14,0)),"")</f>
        <v/>
      </c>
      <c r="K22" s="39" t="inlineStr">
        <is>
          <t>PT</t>
        </is>
      </c>
      <c r="L22" s="29">
        <f>IF(J22="n/a","n/a",IFERROR(IF(ABS(INDEX(Lookups!$H$2:$H$5,MATCH(J22,Lookups!$G$2:$G$5,0))-INDEX(Lookups!$H$2:$H$5,MATCH(K22,Lookups!$G$2:$G$5,0)))&lt;=1,"Yes","No"),"Check"))</f>
        <v/>
      </c>
      <c r="M22" s="43" t="n">
        <v>207314.67</v>
      </c>
      <c r="N22" s="29" t="inlineStr">
        <is>
          <t>Yes</t>
        </is>
      </c>
      <c r="O22" s="39" t="n">
        <v>2</v>
      </c>
      <c r="P22" s="27" t="n"/>
      <c r="Q22" s="29">
        <f>IF(N22&lt;&gt;"Yes","n/a",IF(OR(AND(O22&lt;&gt;"",O22&gt;$W$1),P22="Y"),"Yes",IF(O22&lt;&gt;"","No","Pending")))</f>
        <v/>
      </c>
      <c r="R22" s="29" t="n"/>
      <c r="S22" s="29" t="inlineStr">
        <is>
          <t>Kerrian Dailey</t>
        </is>
      </c>
      <c r="T22" s="29" t="inlineStr">
        <is>
          <t>Local ENT</t>
        </is>
      </c>
      <c r="U22" s="29" t="inlineStr">
        <is>
          <t>Agenda &amp; Video, Land &amp; Vitals</t>
        </is>
      </c>
      <c r="X22" s="19" t="inlineStr">
        <is>
          <t>A</t>
        </is>
      </c>
      <c r="Y22" s="19" t="n">
        <v>62.3</v>
      </c>
      <c r="Z22" s="44" t="n">
        <v>0.75</v>
      </c>
      <c r="AA22" s="51" t="n">
        <v>0.6738</v>
      </c>
      <c r="AB22" s="48" t="n">
        <v>1</v>
      </c>
      <c r="AC22" s="19" t="inlineStr">
        <is>
          <t>Growth engine</t>
        </is>
      </c>
      <c r="AD22" s="19" t="n">
        <v>1</v>
      </c>
      <c r="AE22" s="19" t="inlineStr">
        <is>
          <t>reported</t>
        </is>
      </c>
    </row>
    <row r="23" ht="15" customHeight="1" s="20">
      <c r="A23" s="29" t="inlineStr">
        <is>
          <t>Glendale, CA</t>
        </is>
      </c>
      <c r="B23" s="29" t="inlineStr">
        <is>
          <t>Glendale, CA</t>
        </is>
      </c>
      <c r="C23" s="29" t="inlineStr">
        <is>
          <t>CA</t>
        </is>
      </c>
      <c r="D23" s="29" t="inlineStr">
        <is>
          <t>Local ENT</t>
        </is>
      </c>
      <c r="E23" s="29" t="inlineStr">
        <is>
          <t>Jeff Gaisford</t>
        </is>
      </c>
      <c r="F23" s="29" t="inlineStr">
        <is>
          <t>Colleen Moran</t>
        </is>
      </c>
      <c r="G23" s="39" t="inlineStr">
        <is>
          <t>Colleen Moran</t>
        </is>
      </c>
      <c r="H23" s="29">
        <f>IF(F23="(not in WIP)","New to Enterprise",IF(F23=G23,"No","Yes"))</f>
        <v/>
      </c>
      <c r="I23" s="29">
        <f>IFERROR(INDEX(Lookups!$B$2:$B$14,MATCH(G23,Lookups!$A$2:$A$14,0)),"Not found")</f>
        <v/>
      </c>
      <c r="J23" s="29">
        <f>IFERROR(INDEX(Lookups!$E$2:$E$14,MATCH(G23,Lookups!$A$2:$A$14,0)),"")</f>
        <v/>
      </c>
      <c r="K23" s="39" t="inlineStr">
        <is>
          <t>PT</t>
        </is>
      </c>
      <c r="L23" s="29">
        <f>IF(J23="n/a","n/a",IFERROR(IF(ABS(INDEX(Lookups!$H$2:$H$5,MATCH(J23,Lookups!$G$2:$G$5,0))-INDEX(Lookups!$H$2:$H$5,MATCH(K23,Lookups!$G$2:$G$5,0)))&lt;=1,"Yes","No"),"Check"))</f>
        <v/>
      </c>
      <c r="M23" s="43" t="n">
        <v>170762</v>
      </c>
      <c r="N23" s="29" t="inlineStr">
        <is>
          <t>Yes</t>
        </is>
      </c>
      <c r="O23" s="39" t="n">
        <v>6</v>
      </c>
      <c r="P23" s="27" t="n"/>
      <c r="Q23" s="29">
        <f>IF(N23&lt;&gt;"Yes","n/a",IF(OR(AND(O23&lt;&gt;"",O23&gt;$W$1),P23="Y"),"Yes",IF(O23&lt;&gt;"","No","Pending")))</f>
        <v/>
      </c>
      <c r="R23" s="29" t="n"/>
      <c r="S23" s="29" t="inlineStr">
        <is>
          <t>Cody Nichols</t>
        </is>
      </c>
      <c r="T23" s="29" t="inlineStr">
        <is>
          <t>Local ENT</t>
        </is>
      </c>
      <c r="U23" s="29" t="inlineStr">
        <is>
          <t>Agenda &amp; Video, Email &amp; SMS, Experience Agents, Land &amp; Vitals, Service Request Management, Websites, Portals, &amp; Intranets</t>
        </is>
      </c>
      <c r="X23" s="19" t="inlineStr">
        <is>
          <t>A</t>
        </is>
      </c>
      <c r="Y23" s="19" t="n">
        <v>62.3</v>
      </c>
      <c r="Z23" s="44" t="n">
        <v>0.25</v>
      </c>
      <c r="AA23" s="51" t="n">
        <v>0.4738</v>
      </c>
      <c r="AB23" s="46" t="n">
        <v>3</v>
      </c>
      <c r="AC23" s="19" t="inlineStr">
        <is>
          <t>Defend</t>
        </is>
      </c>
      <c r="AD23" s="19" t="n">
        <v>0.5</v>
      </c>
      <c r="AE23" s="19" t="inlineStr">
        <is>
          <t>reported</t>
        </is>
      </c>
    </row>
    <row r="24" ht="15" customHeight="1" s="20">
      <c r="A24" s="29" t="inlineStr">
        <is>
          <t>Placer County CA</t>
        </is>
      </c>
      <c r="B24" s="29" t="inlineStr">
        <is>
          <t>Placer County CA</t>
        </is>
      </c>
      <c r="C24" s="29" t="inlineStr">
        <is>
          <t>CA</t>
        </is>
      </c>
      <c r="D24" s="29" t="inlineStr">
        <is>
          <t>Local ENT</t>
        </is>
      </c>
      <c r="E24" s="29" t="inlineStr">
        <is>
          <t>Jason Spanier</t>
        </is>
      </c>
      <c r="F24" s="29" t="inlineStr">
        <is>
          <t>Colleen Moran</t>
        </is>
      </c>
      <c r="G24" s="39" t="inlineStr">
        <is>
          <t>Colleen Moran</t>
        </is>
      </c>
      <c r="H24" s="29">
        <f>IF(F24="(not in WIP)","New to Enterprise",IF(F24=G24,"No","Yes"))</f>
        <v/>
      </c>
      <c r="I24" s="29">
        <f>IFERROR(INDEX(Lookups!$B$2:$B$14,MATCH(G24,Lookups!$A$2:$A$14,0)),"Not found")</f>
        <v/>
      </c>
      <c r="J24" s="29">
        <f>IFERROR(INDEX(Lookups!$E$2:$E$14,MATCH(G24,Lookups!$A$2:$A$14,0)),"")</f>
        <v/>
      </c>
      <c r="K24" s="39" t="inlineStr">
        <is>
          <t>PT</t>
        </is>
      </c>
      <c r="L24" s="29">
        <f>IF(J24="n/a","n/a",IFERROR(IF(ABS(INDEX(Lookups!$H$2:$H$5,MATCH(J24,Lookups!$G$2:$G$5,0))-INDEX(Lookups!$H$2:$H$5,MATCH(K24,Lookups!$G$2:$G$5,0)))&lt;=1,"Yes","No"),"Check"))</f>
        <v/>
      </c>
      <c r="M24" s="43" t="n">
        <v>151092.02</v>
      </c>
      <c r="N24" s="29" t="inlineStr">
        <is>
          <t>Yes</t>
        </is>
      </c>
      <c r="O24" s="39" t="n">
        <v>2</v>
      </c>
      <c r="P24" s="27" t="n"/>
      <c r="Q24" s="29">
        <f>IF(N24&lt;&gt;"Yes","n/a",IF(OR(AND(O24&lt;&gt;"",O24&gt;$W$1),P24="Y"),"Yes",IF(O24&lt;&gt;"","No","Pending")))</f>
        <v/>
      </c>
      <c r="R24" s="29" t="n"/>
      <c r="S24" s="29" t="inlineStr">
        <is>
          <t>Natalia Sanchez</t>
        </is>
      </c>
      <c r="T24" s="29" t="inlineStr">
        <is>
          <t>Local ENT</t>
        </is>
      </c>
      <c r="U24" s="29" t="inlineStr">
        <is>
          <t>Agenda &amp; Video, Email &amp; SMS</t>
        </is>
      </c>
      <c r="X24" s="19" t="inlineStr">
        <is>
          <t>A</t>
        </is>
      </c>
      <c r="Y24" s="19" t="n">
        <v>62.3</v>
      </c>
      <c r="Z24" s="44" t="n">
        <v>0.75</v>
      </c>
      <c r="AA24" s="51" t="n">
        <v>0.6738</v>
      </c>
      <c r="AB24" s="48" t="n">
        <v>1</v>
      </c>
      <c r="AC24" s="19" t="inlineStr">
        <is>
          <t>Growth engine</t>
        </is>
      </c>
      <c r="AD24" s="19" t="n">
        <v>1</v>
      </c>
      <c r="AE24" s="19" t="inlineStr">
        <is>
          <t>reported</t>
        </is>
      </c>
    </row>
    <row r="25" ht="15" customHeight="1" s="20">
      <c r="A25" s="29" t="inlineStr">
        <is>
          <t>Los Angeles County Sanitation District</t>
        </is>
      </c>
      <c r="B25" s="29" t="inlineStr">
        <is>
          <t>Los Angeles County CA</t>
        </is>
      </c>
      <c r="C25" s="29" t="inlineStr">
        <is>
          <t>CA</t>
        </is>
      </c>
      <c r="D25" s="29" t="inlineStr">
        <is>
          <t>Local ENT</t>
        </is>
      </c>
      <c r="E25" s="29" t="inlineStr">
        <is>
          <t>Jeff Gaisford</t>
        </is>
      </c>
      <c r="F25" s="29" t="inlineStr">
        <is>
          <t>(not in WIP)</t>
        </is>
      </c>
      <c r="G25" s="39" t="inlineStr">
        <is>
          <t>Colleen Moran</t>
        </is>
      </c>
      <c r="H25" s="29">
        <f>IF(F25="(not in WIP)","New to Enterprise",IF(F25=G25,"No","Yes"))</f>
        <v/>
      </c>
      <c r="I25" s="29">
        <f>IFERROR(INDEX(Lookups!$B$2:$B$14,MATCH(G25,Lookups!$A$2:$A$14,0)),"Not found")</f>
        <v/>
      </c>
      <c r="J25" s="29">
        <f>IFERROR(INDEX(Lookups!$E$2:$E$14,MATCH(G25,Lookups!$A$2:$A$14,0)),"")</f>
        <v/>
      </c>
      <c r="K25" s="39" t="inlineStr">
        <is>
          <t>PT</t>
        </is>
      </c>
      <c r="L25" s="29">
        <f>IF(J25="n/a","n/a",IFERROR(IF(ABS(INDEX(Lookups!$H$2:$H$5,MATCH(J25,Lookups!$G$2:$G$5,0))-INDEX(Lookups!$H$2:$H$5,MATCH(K25,Lookups!$G$2:$G$5,0)))&lt;=1,"Yes","No"),"Check"))</f>
        <v/>
      </c>
      <c r="M25" s="43" t="n">
        <v>101490.55</v>
      </c>
      <c r="N25" s="29" t="inlineStr">
        <is>
          <t>Yes</t>
        </is>
      </c>
      <c r="O25" s="39" t="n">
        <v>3</v>
      </c>
      <c r="P25" s="27" t="n"/>
      <c r="Q25" s="29">
        <f>IF(N25&lt;&gt;"Yes","n/a",IF(OR(AND(O25&lt;&gt;"",O25&gt;$W$1),P25="Y"),"Yes",IF(O25&lt;&gt;"","No","Pending")))</f>
        <v/>
      </c>
      <c r="R25" s="29" t="n"/>
      <c r="S25" s="29" t="inlineStr">
        <is>
          <t>Colleen Moran</t>
        </is>
      </c>
      <c r="T25" s="29" t="inlineStr">
        <is>
          <t>Local ENT</t>
        </is>
      </c>
      <c r="U25" s="29" t="inlineStr">
        <is>
          <t>Email &amp; SMS, Land &amp; Vitals, Websites, Portals, &amp; Intranets</t>
        </is>
      </c>
      <c r="X25" s="19" t="inlineStr">
        <is>
          <t>A</t>
        </is>
      </c>
      <c r="Y25" s="19" t="n">
        <v>62.3</v>
      </c>
      <c r="Z25" s="44" t="n">
        <v>0.625</v>
      </c>
      <c r="AA25" s="51" t="n">
        <v>0.6238</v>
      </c>
      <c r="AB25" s="48" t="n">
        <v>1</v>
      </c>
      <c r="AC25" s="19" t="inlineStr">
        <is>
          <t>Growth engine</t>
        </is>
      </c>
      <c r="AD25" s="19" t="n">
        <v>1</v>
      </c>
      <c r="AE25" s="19" t="inlineStr">
        <is>
          <t>reported</t>
        </is>
      </c>
    </row>
    <row r="26" ht="15" customHeight="1" s="20">
      <c r="A26" s="29" t="inlineStr">
        <is>
          <t>Nevada Department of Human Services</t>
        </is>
      </c>
      <c r="B26" s="29" t="inlineStr">
        <is>
          <t>Nevada (HOLD FOR PARENT ACCOUNT)</t>
        </is>
      </c>
      <c r="C26" s="29" t="inlineStr">
        <is>
          <t>NV</t>
        </is>
      </c>
      <c r="D26" s="29" t="inlineStr">
        <is>
          <t>State</t>
        </is>
      </c>
      <c r="E26" s="29" t="inlineStr">
        <is>
          <t>Cameron Chadsey</t>
        </is>
      </c>
      <c r="F26" s="29" t="inlineStr">
        <is>
          <t>Cody Nichols</t>
        </is>
      </c>
      <c r="G26" s="39" t="inlineStr">
        <is>
          <t>Colleen Moran</t>
        </is>
      </c>
      <c r="H26" s="29">
        <f>IF(F26="(not in WIP)","New to Enterprise",IF(F26=G26,"No","Yes"))</f>
        <v/>
      </c>
      <c r="I26" s="29">
        <f>IFERROR(INDEX(Lookups!$B$2:$B$14,MATCH(G26,Lookups!$A$2:$A$14,0)),"Not found")</f>
        <v/>
      </c>
      <c r="J26" s="29">
        <f>IFERROR(INDEX(Lookups!$E$2:$E$14,MATCH(G26,Lookups!$A$2:$A$14,0)),"")</f>
        <v/>
      </c>
      <c r="K26" s="39" t="inlineStr">
        <is>
          <t>PT</t>
        </is>
      </c>
      <c r="L26" s="29">
        <f>IF(J26="n/a","n/a",IFERROR(IF(ABS(INDEX(Lookups!$H$2:$H$5,MATCH(J26,Lookups!$G$2:$G$5,0))-INDEX(Lookups!$H$2:$H$5,MATCH(K26,Lookups!$G$2:$G$5,0)))&lt;=1,"Yes","No"),"Check"))</f>
        <v/>
      </c>
      <c r="M26" s="43" t="n">
        <v>64059.6</v>
      </c>
      <c r="N26" s="29" t="inlineStr">
        <is>
          <t>Yes</t>
        </is>
      </c>
      <c r="O26" s="39" t="n">
        <v>1</v>
      </c>
      <c r="P26" s="27" t="n"/>
      <c r="Q26" s="29">
        <f>IF(N26&lt;&gt;"Yes","n/a",IF(OR(AND(O26&lt;&gt;"",O26&gt;$W$1),P26="Y"),"Yes",IF(O26&lt;&gt;"","No","Pending")))</f>
        <v/>
      </c>
      <c r="R26" s="29" t="n"/>
      <c r="S26" s="29" t="inlineStr">
        <is>
          <t>Taylor Roman</t>
        </is>
      </c>
      <c r="T26" s="29" t="inlineStr">
        <is>
          <t>State</t>
        </is>
      </c>
      <c r="U26" s="29" t="inlineStr">
        <is>
          <t>Public Records Request</t>
        </is>
      </c>
      <c r="X26" s="19" t="inlineStr">
        <is>
          <t>B</t>
        </is>
      </c>
      <c r="Y26" s="19" t="n">
        <v>49.1</v>
      </c>
      <c r="Z26" s="44" t="n">
        <v>0.875</v>
      </c>
      <c r="AA26" s="51" t="n">
        <v>0.6446</v>
      </c>
      <c r="AB26" s="49" t="n">
        <v>2</v>
      </c>
      <c r="AC26" s="19" t="inlineStr">
        <is>
          <t>Expansion</t>
        </is>
      </c>
      <c r="AD26" s="19" t="n">
        <v>0.8</v>
      </c>
      <c r="AE26" s="19" t="inlineStr">
        <is>
          <t>reported</t>
        </is>
      </c>
    </row>
    <row r="27" ht="15" customHeight="1" s="20">
      <c r="A27" s="29" t="inlineStr">
        <is>
          <t>Nevada Health Authority</t>
        </is>
      </c>
      <c r="B27" s="29" t="inlineStr">
        <is>
          <t>Nevada (HOLD FOR PARENT ACCOUNT)</t>
        </is>
      </c>
      <c r="C27" s="29" t="inlineStr">
        <is>
          <t>NV</t>
        </is>
      </c>
      <c r="D27" s="29" t="inlineStr">
        <is>
          <t>State</t>
        </is>
      </c>
      <c r="E27" s="29" t="inlineStr">
        <is>
          <t>Cameron Chadsey</t>
        </is>
      </c>
      <c r="F27" s="29" t="inlineStr">
        <is>
          <t>Cody Nichols</t>
        </is>
      </c>
      <c r="G27" s="39" t="inlineStr">
        <is>
          <t>Colleen Moran</t>
        </is>
      </c>
      <c r="H27" s="29">
        <f>IF(F27="(not in WIP)","New to Enterprise",IF(F27=G27,"No","Yes"))</f>
        <v/>
      </c>
      <c r="I27" s="29">
        <f>IFERROR(INDEX(Lookups!$B$2:$B$14,MATCH(G27,Lookups!$A$2:$A$14,0)),"Not found")</f>
        <v/>
      </c>
      <c r="J27" s="29">
        <f>IFERROR(INDEX(Lookups!$E$2:$E$14,MATCH(G27,Lookups!$A$2:$A$14,0)),"")</f>
        <v/>
      </c>
      <c r="K27" s="39" t="inlineStr">
        <is>
          <t>PT</t>
        </is>
      </c>
      <c r="L27" s="29">
        <f>IF(J27="n/a","n/a",IFERROR(IF(ABS(INDEX(Lookups!$H$2:$H$5,MATCH(J27,Lookups!$G$2:$G$5,0))-INDEX(Lookups!$H$2:$H$5,MATCH(K27,Lookups!$G$2:$G$5,0)))&lt;=1,"Yes","No"),"Check"))</f>
        <v/>
      </c>
      <c r="M27" s="43" t="n">
        <v>51688.96</v>
      </c>
      <c r="N27" s="29" t="inlineStr">
        <is>
          <t>Yes</t>
        </is>
      </c>
      <c r="O27" s="39" t="n">
        <v>1</v>
      </c>
      <c r="P27" s="27" t="n"/>
      <c r="Q27" s="29">
        <f>IF(N27&lt;&gt;"Yes","n/a",IF(OR(AND(O27&lt;&gt;"",O27&gt;$W$1),P27="Y"),"Yes",IF(O27&lt;&gt;"","No","Pending")))</f>
        <v/>
      </c>
      <c r="R27" s="29" t="n"/>
      <c r="S27" s="29" t="inlineStr">
        <is>
          <t>Taylor Roman</t>
        </is>
      </c>
      <c r="T27" s="29" t="inlineStr">
        <is>
          <t>State</t>
        </is>
      </c>
      <c r="U27" s="29" t="inlineStr">
        <is>
          <t>Public Records Request</t>
        </is>
      </c>
      <c r="X27" s="19" t="inlineStr">
        <is>
          <t>B</t>
        </is>
      </c>
      <c r="Y27" s="19" t="n">
        <v>49.1</v>
      </c>
      <c r="Z27" s="44" t="n">
        <v>0.875</v>
      </c>
      <c r="AA27" s="51" t="n">
        <v>0.6446</v>
      </c>
      <c r="AB27" s="49" t="n">
        <v>2</v>
      </c>
      <c r="AC27" s="19" t="inlineStr">
        <is>
          <t>Expansion</t>
        </is>
      </c>
      <c r="AD27" s="19" t="n">
        <v>0.8</v>
      </c>
      <c r="AE27" s="19" t="inlineStr">
        <is>
          <t>reported</t>
        </is>
      </c>
    </row>
    <row r="28" ht="15" customHeight="1" s="20">
      <c r="A28" s="29" t="inlineStr">
        <is>
          <t>Nevada Department of Motor Vehicles</t>
        </is>
      </c>
      <c r="B28" s="29" t="inlineStr">
        <is>
          <t>Nevada (HOLD FOR PARENT ACCOUNT)</t>
        </is>
      </c>
      <c r="C28" s="29" t="inlineStr">
        <is>
          <t>NV</t>
        </is>
      </c>
      <c r="D28" s="29" t="inlineStr">
        <is>
          <t>State</t>
        </is>
      </c>
      <c r="E28" s="29" t="inlineStr">
        <is>
          <t>Cameron Chadsey</t>
        </is>
      </c>
      <c r="F28" s="29" t="inlineStr">
        <is>
          <t>Cody Nichols</t>
        </is>
      </c>
      <c r="G28" s="39" t="inlineStr">
        <is>
          <t>Colleen Moran</t>
        </is>
      </c>
      <c r="H28" s="29">
        <f>IF(F28="(not in WIP)","New to Enterprise",IF(F28=G28,"No","Yes"))</f>
        <v/>
      </c>
      <c r="I28" s="29">
        <f>IFERROR(INDEX(Lookups!$B$2:$B$14,MATCH(G28,Lookups!$A$2:$A$14,0)),"Not found")</f>
        <v/>
      </c>
      <c r="J28" s="29">
        <f>IFERROR(INDEX(Lookups!$E$2:$E$14,MATCH(G28,Lookups!$A$2:$A$14,0)),"")</f>
        <v/>
      </c>
      <c r="K28" s="39" t="inlineStr">
        <is>
          <t>PT</t>
        </is>
      </c>
      <c r="L28" s="29">
        <f>IF(J28="n/a","n/a",IFERROR(IF(ABS(INDEX(Lookups!$H$2:$H$5,MATCH(J28,Lookups!$G$2:$G$5,0))-INDEX(Lookups!$H$2:$H$5,MATCH(K28,Lookups!$G$2:$G$5,0)))&lt;=1,"Yes","No"),"Check"))</f>
        <v/>
      </c>
      <c r="M28" s="43" t="n">
        <v>47919.55</v>
      </c>
      <c r="N28" s="29" t="inlineStr">
        <is>
          <t>Yes</t>
        </is>
      </c>
      <c r="O28" s="39" t="n">
        <v>1</v>
      </c>
      <c r="P28" s="27" t="n"/>
      <c r="Q28" s="29">
        <f>IF(N28&lt;&gt;"Yes","n/a",IF(OR(AND(O28&lt;&gt;"",O28&gt;$W$1),P28="Y"),"Yes",IF(O28&lt;&gt;"","No","Pending")))</f>
        <v/>
      </c>
      <c r="R28" s="29" t="n"/>
      <c r="S28" s="29" t="inlineStr">
        <is>
          <t>Taylor Roman</t>
        </is>
      </c>
      <c r="T28" s="29" t="inlineStr">
        <is>
          <t>State</t>
        </is>
      </c>
      <c r="U28" s="29" t="inlineStr">
        <is>
          <t>Public Records Request</t>
        </is>
      </c>
      <c r="X28" s="19" t="inlineStr">
        <is>
          <t>B</t>
        </is>
      </c>
      <c r="Y28" s="19" t="n">
        <v>49.1</v>
      </c>
      <c r="Z28" s="44" t="n">
        <v>0.875</v>
      </c>
      <c r="AA28" s="51" t="n">
        <v>0.6446</v>
      </c>
      <c r="AB28" s="49" t="n">
        <v>2</v>
      </c>
      <c r="AC28" s="19" t="inlineStr">
        <is>
          <t>Expansion</t>
        </is>
      </c>
      <c r="AD28" s="19" t="n">
        <v>0.8</v>
      </c>
      <c r="AE28" s="19" t="inlineStr">
        <is>
          <t>reported</t>
        </is>
      </c>
    </row>
    <row r="29" ht="15" customHeight="1" s="20">
      <c r="A29" s="29" t="inlineStr">
        <is>
          <t>California Secretary of State</t>
        </is>
      </c>
      <c r="B29" s="29" t="inlineStr">
        <is>
          <t>California</t>
        </is>
      </c>
      <c r="C29" s="29" t="inlineStr">
        <is>
          <t>CA</t>
        </is>
      </c>
      <c r="D29" s="29" t="inlineStr">
        <is>
          <t>State</t>
        </is>
      </c>
      <c r="E29" s="29" t="inlineStr">
        <is>
          <t>State AE – CA/HI</t>
        </is>
      </c>
      <c r="F29" s="29" t="inlineStr">
        <is>
          <t>(not in WIP)</t>
        </is>
      </c>
      <c r="G29" s="39" t="inlineStr">
        <is>
          <t>Open XP2 (PT)</t>
        </is>
      </c>
      <c r="H29" s="29">
        <f>IF(F29="(not in WIP)","New to Enterprise",IF(F29=G29,"No","Yes"))</f>
        <v/>
      </c>
      <c r="I29" s="29">
        <f>IFERROR(INDEX(Lookups!$B$2:$B$14,MATCH(G29,Lookups!$A$2:$A$14,0)),"Not found")</f>
        <v/>
      </c>
      <c r="J29" s="29">
        <f>IFERROR(INDEX(Lookups!$E$2:$E$14,MATCH(G29,Lookups!$A$2:$A$14,0)),"")</f>
        <v/>
      </c>
      <c r="K29" s="39" t="inlineStr">
        <is>
          <t>PT</t>
        </is>
      </c>
      <c r="L29" s="29">
        <f>IF(J29="n/a","n/a",IFERROR(IF(ABS(INDEX(Lookups!$H$2:$H$5,MATCH(J29,Lookups!$G$2:$G$5,0))-INDEX(Lookups!$H$2:$H$5,MATCH(K29,Lookups!$G$2:$G$5,0)))&lt;=1,"Yes","No"),"Check"))</f>
        <v/>
      </c>
      <c r="M29" s="43" t="n">
        <v>596661.4300000001</v>
      </c>
      <c r="N29" s="29" t="inlineStr">
        <is>
          <t>Yes</t>
        </is>
      </c>
      <c r="O29" s="39" t="n">
        <v>4</v>
      </c>
      <c r="P29" s="27" t="n"/>
      <c r="Q29" s="29">
        <f>IF(N29&lt;&gt;"Yes","n/a",IF(OR(AND(O29&lt;&gt;"",O29&gt;$W$1),P29="Y"),"Yes",IF(O29&lt;&gt;"","No","Pending")))</f>
        <v/>
      </c>
      <c r="R29" s="29" t="n"/>
      <c r="S29" s="29" t="inlineStr">
        <is>
          <t>Ashley Hill</t>
        </is>
      </c>
      <c r="T29" s="29" t="inlineStr">
        <is>
          <t>State</t>
        </is>
      </c>
      <c r="U29" s="29" t="inlineStr">
        <is>
          <t>Agenda &amp; Video, Email &amp; SMS, Engagement &amp; Sentiment, Recurring Services</t>
        </is>
      </c>
      <c r="X29" s="19" t="inlineStr">
        <is>
          <t>B</t>
        </is>
      </c>
      <c r="Y29" s="19" t="n">
        <v>54.4</v>
      </c>
      <c r="Z29" s="44" t="n">
        <v>0.5</v>
      </c>
      <c r="AA29" s="51" t="n">
        <v>0.5264</v>
      </c>
      <c r="AB29" s="46" t="n">
        <v>3</v>
      </c>
      <c r="AC29" s="19" t="inlineStr">
        <is>
          <t>Defend</t>
        </is>
      </c>
      <c r="AD29" s="19" t="n">
        <v>0.5</v>
      </c>
      <c r="AE29" s="19" t="inlineStr">
        <is>
          <t>reported</t>
        </is>
      </c>
    </row>
    <row r="30" ht="15" customHeight="1" s="20">
      <c r="A30" s="29" t="inlineStr">
        <is>
          <t>California Department of Healthcare Services (DHCS)</t>
        </is>
      </c>
      <c r="B30" s="29" t="inlineStr">
        <is>
          <t>California</t>
        </is>
      </c>
      <c r="C30" s="29" t="inlineStr">
        <is>
          <t>CA</t>
        </is>
      </c>
      <c r="D30" s="29" t="inlineStr">
        <is>
          <t>State</t>
        </is>
      </c>
      <c r="E30" s="29" t="inlineStr">
        <is>
          <t>State AE – CA/HI</t>
        </is>
      </c>
      <c r="F30" s="29" t="inlineStr">
        <is>
          <t>Colleen Moran</t>
        </is>
      </c>
      <c r="G30" s="39" t="inlineStr">
        <is>
          <t>Open XP2 (PT)</t>
        </is>
      </c>
      <c r="H30" s="29">
        <f>IF(F30="(not in WIP)","New to Enterprise",IF(F30=G30,"No","Yes"))</f>
        <v/>
      </c>
      <c r="I30" s="29">
        <f>IFERROR(INDEX(Lookups!$B$2:$B$14,MATCH(G30,Lookups!$A$2:$A$14,0)),"Not found")</f>
        <v/>
      </c>
      <c r="J30" s="29">
        <f>IFERROR(INDEX(Lookups!$E$2:$E$14,MATCH(G30,Lookups!$A$2:$A$14,0)),"")</f>
        <v/>
      </c>
      <c r="K30" s="39" t="inlineStr">
        <is>
          <t>PT</t>
        </is>
      </c>
      <c r="L30" s="29">
        <f>IF(J30="n/a","n/a",IFERROR(IF(ABS(INDEX(Lookups!$H$2:$H$5,MATCH(J30,Lookups!$G$2:$G$5,0))-INDEX(Lookups!$H$2:$H$5,MATCH(K30,Lookups!$G$2:$G$5,0)))&lt;=1,"Yes","No"),"Check"))</f>
        <v/>
      </c>
      <c r="M30" s="43" t="n">
        <v>556584.96</v>
      </c>
      <c r="N30" s="29" t="inlineStr">
        <is>
          <t>Yes</t>
        </is>
      </c>
      <c r="O30" s="39" t="n">
        <v>2</v>
      </c>
      <c r="P30" s="27" t="n"/>
      <c r="Q30" s="29">
        <f>IF(N30&lt;&gt;"Yes","n/a",IF(OR(AND(O30&lt;&gt;"",O30&gt;$W$1),P30="Y"),"Yes",IF(O30&lt;&gt;"","No","Pending")))</f>
        <v/>
      </c>
      <c r="R30" s="29" t="n"/>
      <c r="S30" s="29" t="inlineStr">
        <is>
          <t>Colleen Moran</t>
        </is>
      </c>
      <c r="T30" s="29" t="inlineStr">
        <is>
          <t>State</t>
        </is>
      </c>
      <c r="U30" s="29" t="inlineStr">
        <is>
          <t>Email &amp; SMS, Public Records Request</t>
        </is>
      </c>
      <c r="X30" s="19" t="inlineStr">
        <is>
          <t>B</t>
        </is>
      </c>
      <c r="Y30" s="19" t="n">
        <v>54.4</v>
      </c>
      <c r="Z30" s="44" t="n">
        <v>0.75</v>
      </c>
      <c r="AA30" s="51" t="n">
        <v>0.6264</v>
      </c>
      <c r="AB30" s="48" t="n">
        <v>1</v>
      </c>
      <c r="AC30" s="19" t="inlineStr">
        <is>
          <t>Growth engine</t>
        </is>
      </c>
      <c r="AD30" s="19" t="n">
        <v>1</v>
      </c>
      <c r="AE30" s="19" t="inlineStr">
        <is>
          <t>reported</t>
        </is>
      </c>
    </row>
    <row r="31" ht="15" customHeight="1" s="20">
      <c r="A31" s="29" t="inlineStr">
        <is>
          <t>California Department of Corrections and Rehabilitation (CDCR)</t>
        </is>
      </c>
      <c r="B31" s="29" t="inlineStr">
        <is>
          <t>California</t>
        </is>
      </c>
      <c r="C31" s="29" t="inlineStr">
        <is>
          <t>CA</t>
        </is>
      </c>
      <c r="D31" s="29" t="inlineStr">
        <is>
          <t>State</t>
        </is>
      </c>
      <c r="E31" s="29" t="inlineStr">
        <is>
          <t>State AE – CA/HI</t>
        </is>
      </c>
      <c r="F31" s="29" t="inlineStr">
        <is>
          <t>Colleen Moran</t>
        </is>
      </c>
      <c r="G31" s="39" t="inlineStr">
        <is>
          <t>Open XP2 (PT)</t>
        </is>
      </c>
      <c r="H31" s="29">
        <f>IF(F31="(not in WIP)","New to Enterprise",IF(F31=G31,"No","Yes"))</f>
        <v/>
      </c>
      <c r="I31" s="29">
        <f>IFERROR(INDEX(Lookups!$B$2:$B$14,MATCH(G31,Lookups!$A$2:$A$14,0)),"Not found")</f>
        <v/>
      </c>
      <c r="J31" s="29">
        <f>IFERROR(INDEX(Lookups!$E$2:$E$14,MATCH(G31,Lookups!$A$2:$A$14,0)),"")</f>
        <v/>
      </c>
      <c r="K31" s="39" t="inlineStr">
        <is>
          <t>PT</t>
        </is>
      </c>
      <c r="L31" s="29">
        <f>IF(J31="n/a","n/a",IFERROR(IF(ABS(INDEX(Lookups!$H$2:$H$5,MATCH(J31,Lookups!$G$2:$G$5,0))-INDEX(Lookups!$H$2:$H$5,MATCH(K31,Lookups!$G$2:$G$5,0)))&lt;=1,"Yes","No"),"Check"))</f>
        <v/>
      </c>
      <c r="M31" s="43" t="n">
        <v>489275.93</v>
      </c>
      <c r="N31" s="29" t="inlineStr">
        <is>
          <t>Yes</t>
        </is>
      </c>
      <c r="O31" s="39" t="n">
        <v>2</v>
      </c>
      <c r="P31" s="27" t="n"/>
      <c r="Q31" s="29">
        <f>IF(N31&lt;&gt;"Yes","n/a",IF(OR(AND(O31&lt;&gt;"",O31&gt;$W$1),P31="Y"),"Yes",IF(O31&lt;&gt;"","No","Pending")))</f>
        <v/>
      </c>
      <c r="R31" s="29" t="n"/>
      <c r="S31" s="29" t="inlineStr">
        <is>
          <t>Colleen Moran</t>
        </is>
      </c>
      <c r="T31" s="29" t="inlineStr">
        <is>
          <t>State</t>
        </is>
      </c>
      <c r="U31" s="29" t="inlineStr">
        <is>
          <t>Land &amp; Vitals, Public Records Request</t>
        </is>
      </c>
      <c r="X31" s="19" t="inlineStr">
        <is>
          <t>B</t>
        </is>
      </c>
      <c r="Y31" s="19" t="n">
        <v>54.4</v>
      </c>
      <c r="Z31" s="44" t="n">
        <v>0.75</v>
      </c>
      <c r="AA31" s="51" t="n">
        <v>0.6264</v>
      </c>
      <c r="AB31" s="48" t="n">
        <v>1</v>
      </c>
      <c r="AC31" s="19" t="inlineStr">
        <is>
          <t>Growth engine</t>
        </is>
      </c>
      <c r="AD31" s="19" t="n">
        <v>1</v>
      </c>
      <c r="AE31" s="19" t="inlineStr">
        <is>
          <t>reported</t>
        </is>
      </c>
    </row>
    <row r="32" ht="15" customHeight="1" s="20">
      <c r="A32" s="29" t="inlineStr">
        <is>
          <t>California State Teachers' Retirement System</t>
        </is>
      </c>
      <c r="B32" s="29" t="inlineStr">
        <is>
          <t>California</t>
        </is>
      </c>
      <c r="C32" s="29" t="inlineStr">
        <is>
          <t>CA</t>
        </is>
      </c>
      <c r="D32" s="29" t="inlineStr">
        <is>
          <t>State</t>
        </is>
      </c>
      <c r="E32" s="29" t="inlineStr">
        <is>
          <t>State AE – CA/HI</t>
        </is>
      </c>
      <c r="F32" s="29" t="inlineStr">
        <is>
          <t>Colleen Moran</t>
        </is>
      </c>
      <c r="G32" s="39" t="inlineStr">
        <is>
          <t>Open XP2 (PT)</t>
        </is>
      </c>
      <c r="H32" s="29">
        <f>IF(F32="(not in WIP)","New to Enterprise",IF(F32=G32,"No","Yes"))</f>
        <v/>
      </c>
      <c r="I32" s="29">
        <f>IFERROR(INDEX(Lookups!$B$2:$B$14,MATCH(G32,Lookups!$A$2:$A$14,0)),"Not found")</f>
        <v/>
      </c>
      <c r="J32" s="29">
        <f>IFERROR(INDEX(Lookups!$E$2:$E$14,MATCH(G32,Lookups!$A$2:$A$14,0)),"")</f>
        <v/>
      </c>
      <c r="K32" s="39" t="inlineStr">
        <is>
          <t>PT</t>
        </is>
      </c>
      <c r="L32" s="29">
        <f>IF(J32="n/a","n/a",IFERROR(IF(ABS(INDEX(Lookups!$H$2:$H$5,MATCH(J32,Lookups!$G$2:$G$5,0))-INDEX(Lookups!$H$2:$H$5,MATCH(K32,Lookups!$G$2:$G$5,0)))&lt;=1,"Yes","No"),"Check"))</f>
        <v/>
      </c>
      <c r="M32" s="43" t="n">
        <v>222944.53</v>
      </c>
      <c r="N32" s="29" t="inlineStr">
        <is>
          <t>Yes</t>
        </is>
      </c>
      <c r="O32" s="39" t="n">
        <v>4</v>
      </c>
      <c r="P32" s="27" t="n"/>
      <c r="Q32" s="29">
        <f>IF(N32&lt;&gt;"Yes","n/a",IF(OR(AND(O32&lt;&gt;"",O32&gt;$W$1),P32="Y"),"Yes",IF(O32&lt;&gt;"","No","Pending")))</f>
        <v/>
      </c>
      <c r="R32" s="29" t="n"/>
      <c r="S32" s="29" t="inlineStr">
        <is>
          <t>Taylor Roman</t>
        </is>
      </c>
      <c r="T32" s="29" t="inlineStr">
        <is>
          <t>State</t>
        </is>
      </c>
      <c r="U32" s="29" t="inlineStr">
        <is>
          <t>Email &amp; SMS, Engagement &amp; Sentiment, Land &amp; Vitals, Recurring Services</t>
        </is>
      </c>
      <c r="X32" s="19" t="inlineStr">
        <is>
          <t>B</t>
        </is>
      </c>
      <c r="Y32" s="19" t="n">
        <v>54.4</v>
      </c>
      <c r="Z32" s="44" t="n">
        <v>0.5</v>
      </c>
      <c r="AA32" s="51" t="n">
        <v>0.5264</v>
      </c>
      <c r="AB32" s="46" t="n">
        <v>3</v>
      </c>
      <c r="AC32" s="19" t="inlineStr">
        <is>
          <t>Defend</t>
        </is>
      </c>
      <c r="AD32" s="19" t="n">
        <v>0.5</v>
      </c>
      <c r="AE32" s="19" t="inlineStr">
        <is>
          <t>reported</t>
        </is>
      </c>
    </row>
    <row r="33" ht="15" customHeight="1" s="20">
      <c r="A33" s="29" t="inlineStr">
        <is>
          <t>Superior Court of California, County of San Francisco</t>
        </is>
      </c>
      <c r="B33" s="29" t="inlineStr">
        <is>
          <t>California</t>
        </is>
      </c>
      <c r="C33" s="29" t="inlineStr">
        <is>
          <t>CA</t>
        </is>
      </c>
      <c r="D33" s="29" t="inlineStr">
        <is>
          <t>State</t>
        </is>
      </c>
      <c r="E33" s="29" t="inlineStr">
        <is>
          <t>State AE – CA/HI</t>
        </is>
      </c>
      <c r="F33" s="29" t="inlineStr">
        <is>
          <t>Colleen Moran</t>
        </is>
      </c>
      <c r="G33" s="39" t="inlineStr">
        <is>
          <t>Open XP2 (PT)</t>
        </is>
      </c>
      <c r="H33" s="29">
        <f>IF(F33="(not in WIP)","New to Enterprise",IF(F33=G33,"No","Yes"))</f>
        <v/>
      </c>
      <c r="I33" s="29">
        <f>IFERROR(INDEX(Lookups!$B$2:$B$14,MATCH(G33,Lookups!$A$2:$A$14,0)),"Not found")</f>
        <v/>
      </c>
      <c r="J33" s="29">
        <f>IFERROR(INDEX(Lookups!$E$2:$E$14,MATCH(G33,Lookups!$A$2:$A$14,0)),"")</f>
        <v/>
      </c>
      <c r="K33" s="39" t="inlineStr">
        <is>
          <t>PT</t>
        </is>
      </c>
      <c r="L33" s="29">
        <f>IF(J33="n/a","n/a",IFERROR(IF(ABS(INDEX(Lookups!$H$2:$H$5,MATCH(J33,Lookups!$G$2:$G$5,0))-INDEX(Lookups!$H$2:$H$5,MATCH(K33,Lookups!$G$2:$G$5,0)))&lt;=1,"Yes","No"),"Check"))</f>
        <v/>
      </c>
      <c r="M33" s="43" t="n">
        <v>216759.24</v>
      </c>
      <c r="N33" s="29" t="inlineStr">
        <is>
          <t>Yes</t>
        </is>
      </c>
      <c r="O33" s="39" t="n">
        <v>1</v>
      </c>
      <c r="P33" s="27" t="n"/>
      <c r="Q33" s="29">
        <f>IF(N33&lt;&gt;"Yes","n/a",IF(OR(AND(O33&lt;&gt;"",O33&gt;$W$1),P33="Y"),"Yes",IF(O33&lt;&gt;"","No","Pending")))</f>
        <v/>
      </c>
      <c r="R33" s="29" t="n"/>
      <c r="S33" s="29" t="inlineStr">
        <is>
          <t>Steffany Amador</t>
        </is>
      </c>
      <c r="T33" s="29" t="inlineStr">
        <is>
          <t>State</t>
        </is>
      </c>
      <c r="U33" s="29" t="inlineStr">
        <is>
          <t>Public Records Request</t>
        </is>
      </c>
      <c r="X33" s="19" t="inlineStr">
        <is>
          <t>B</t>
        </is>
      </c>
      <c r="Y33" s="19" t="n">
        <v>54.4</v>
      </c>
      <c r="Z33" s="44" t="n">
        <v>0.875</v>
      </c>
      <c r="AA33" s="51" t="n">
        <v>0.6764</v>
      </c>
      <c r="AB33" s="48" t="n">
        <v>1</v>
      </c>
      <c r="AC33" s="19" t="inlineStr">
        <is>
          <t>Growth engine</t>
        </is>
      </c>
      <c r="AD33" s="19" t="n">
        <v>1</v>
      </c>
      <c r="AE33" s="19" t="inlineStr">
        <is>
          <t>reported</t>
        </is>
      </c>
    </row>
    <row r="34" ht="15" customHeight="1" s="20">
      <c r="A34" s="29" t="inlineStr">
        <is>
          <t>California Department of Justice</t>
        </is>
      </c>
      <c r="B34" s="29" t="inlineStr">
        <is>
          <t>California</t>
        </is>
      </c>
      <c r="C34" s="29" t="inlineStr">
        <is>
          <t>CA</t>
        </is>
      </c>
      <c r="D34" s="29" t="inlineStr">
        <is>
          <t>State</t>
        </is>
      </c>
      <c r="E34" s="29" t="inlineStr">
        <is>
          <t>State AE – CA/HI</t>
        </is>
      </c>
      <c r="F34" s="29" t="inlineStr">
        <is>
          <t>Colleen Moran</t>
        </is>
      </c>
      <c r="G34" s="39" t="inlineStr">
        <is>
          <t>Open XP2 (PT)</t>
        </is>
      </c>
      <c r="H34" s="29">
        <f>IF(F34="(not in WIP)","New to Enterprise",IF(F34=G34,"No","Yes"))</f>
        <v/>
      </c>
      <c r="I34" s="29">
        <f>IFERROR(INDEX(Lookups!$B$2:$B$14,MATCH(G34,Lookups!$A$2:$A$14,0)),"Not found")</f>
        <v/>
      </c>
      <c r="J34" s="29">
        <f>IFERROR(INDEX(Lookups!$E$2:$E$14,MATCH(G34,Lookups!$A$2:$A$14,0)),"")</f>
        <v/>
      </c>
      <c r="K34" s="39" t="inlineStr">
        <is>
          <t>PT</t>
        </is>
      </c>
      <c r="L34" s="29">
        <f>IF(J34="n/a","n/a",IFERROR(IF(ABS(INDEX(Lookups!$H$2:$H$5,MATCH(J34,Lookups!$G$2:$G$5,0))-INDEX(Lookups!$H$2:$H$5,MATCH(K34,Lookups!$G$2:$G$5,0)))&lt;=1,"Yes","No"),"Check"))</f>
        <v/>
      </c>
      <c r="M34" s="43" t="n">
        <v>194651.69</v>
      </c>
      <c r="N34" s="29" t="inlineStr">
        <is>
          <t>Yes</t>
        </is>
      </c>
      <c r="O34" s="39" t="n">
        <v>4</v>
      </c>
      <c r="P34" s="27" t="n"/>
      <c r="Q34" s="29">
        <f>IF(N34&lt;&gt;"Yes","n/a",IF(OR(AND(O34&lt;&gt;"",O34&gt;$W$1),P34="Y"),"Yes",IF(O34&lt;&gt;"","No","Pending")))</f>
        <v/>
      </c>
      <c r="R34" s="29" t="n"/>
      <c r="S34" s="29" t="inlineStr">
        <is>
          <t>Colleen Moran</t>
        </is>
      </c>
      <c r="T34" s="29" t="inlineStr">
        <is>
          <t>State</t>
        </is>
      </c>
      <c r="U34" s="29" t="inlineStr">
        <is>
          <t>Email &amp; SMS, Engagement &amp; Sentiment, Land &amp; Vitals, Recurring Services</t>
        </is>
      </c>
      <c r="X34" s="19" t="inlineStr">
        <is>
          <t>B</t>
        </is>
      </c>
      <c r="Y34" s="19" t="n">
        <v>54.4</v>
      </c>
      <c r="Z34" s="44" t="n">
        <v>0.5</v>
      </c>
      <c r="AA34" s="51" t="n">
        <v>0.5264</v>
      </c>
      <c r="AB34" s="46" t="n">
        <v>3</v>
      </c>
      <c r="AC34" s="19" t="inlineStr">
        <is>
          <t>Defend</t>
        </is>
      </c>
      <c r="AD34" s="19" t="n">
        <v>0.5</v>
      </c>
      <c r="AE34" s="19" t="inlineStr">
        <is>
          <t>reported</t>
        </is>
      </c>
    </row>
    <row r="35" ht="15" customHeight="1" s="20">
      <c r="A35" s="29" t="inlineStr">
        <is>
          <t>California Department of Public Health</t>
        </is>
      </c>
      <c r="B35" s="29" t="inlineStr">
        <is>
          <t>California</t>
        </is>
      </c>
      <c r="C35" s="29" t="inlineStr">
        <is>
          <t>CA</t>
        </is>
      </c>
      <c r="D35" s="29" t="inlineStr">
        <is>
          <t>State</t>
        </is>
      </c>
      <c r="E35" s="29" t="inlineStr">
        <is>
          <t>State AE – CA/HI</t>
        </is>
      </c>
      <c r="F35" s="29" t="inlineStr">
        <is>
          <t>Colleen Moran</t>
        </is>
      </c>
      <c r="G35" s="39" t="inlineStr">
        <is>
          <t>Open XP2 (PT)</t>
        </is>
      </c>
      <c r="H35" s="29">
        <f>IF(F35="(not in WIP)","New to Enterprise",IF(F35=G35,"No","Yes"))</f>
        <v/>
      </c>
      <c r="I35" s="29">
        <f>IFERROR(INDEX(Lookups!$B$2:$B$14,MATCH(G35,Lookups!$A$2:$A$14,0)),"Not found")</f>
        <v/>
      </c>
      <c r="J35" s="29">
        <f>IFERROR(INDEX(Lookups!$E$2:$E$14,MATCH(G35,Lookups!$A$2:$A$14,0)),"")</f>
        <v/>
      </c>
      <c r="K35" s="39" t="inlineStr">
        <is>
          <t>PT</t>
        </is>
      </c>
      <c r="L35" s="29">
        <f>IF(J35="n/a","n/a",IFERROR(IF(ABS(INDEX(Lookups!$H$2:$H$5,MATCH(J35,Lookups!$G$2:$G$5,0))-INDEX(Lookups!$H$2:$H$5,MATCH(K35,Lookups!$G$2:$G$5,0)))&lt;=1,"Yes","No"),"Check"))</f>
        <v/>
      </c>
      <c r="M35" s="43" t="n">
        <v>184370.67</v>
      </c>
      <c r="N35" s="29" t="inlineStr">
        <is>
          <t>Yes</t>
        </is>
      </c>
      <c r="O35" s="39" t="n">
        <v>2</v>
      </c>
      <c r="P35" s="27" t="n"/>
      <c r="Q35" s="29">
        <f>IF(N35&lt;&gt;"Yes","n/a",IF(OR(AND(O35&lt;&gt;"",O35&gt;$W$1),P35="Y"),"Yes",IF(O35&lt;&gt;"","No","Pending")))</f>
        <v/>
      </c>
      <c r="R35" s="29" t="n"/>
      <c r="S35" s="29" t="inlineStr">
        <is>
          <t>Taylor Roman</t>
        </is>
      </c>
      <c r="T35" s="29" t="inlineStr">
        <is>
          <t>State</t>
        </is>
      </c>
      <c r="U35" s="29" t="inlineStr">
        <is>
          <t>Land &amp; Vitals, Public Records Request</t>
        </is>
      </c>
      <c r="X35" s="19" t="inlineStr">
        <is>
          <t>B</t>
        </is>
      </c>
      <c r="Y35" s="19" t="n">
        <v>54.4</v>
      </c>
      <c r="Z35" s="44" t="n">
        <v>0.75</v>
      </c>
      <c r="AA35" s="51" t="n">
        <v>0.6264</v>
      </c>
      <c r="AB35" s="48" t="n">
        <v>1</v>
      </c>
      <c r="AC35" s="19" t="inlineStr">
        <is>
          <t>Growth engine</t>
        </is>
      </c>
      <c r="AD35" s="19" t="n">
        <v>1</v>
      </c>
      <c r="AE35" s="19" t="inlineStr">
        <is>
          <t>reported</t>
        </is>
      </c>
    </row>
    <row r="36" ht="15" customHeight="1" s="20">
      <c r="A36" s="29" t="inlineStr">
        <is>
          <t>California Department of Housing &amp; Community Development</t>
        </is>
      </c>
      <c r="B36" s="29" t="inlineStr">
        <is>
          <t>California</t>
        </is>
      </c>
      <c r="C36" s="29" t="inlineStr">
        <is>
          <t>CA</t>
        </is>
      </c>
      <c r="D36" s="29" t="inlineStr">
        <is>
          <t>State</t>
        </is>
      </c>
      <c r="E36" s="29" t="inlineStr">
        <is>
          <t>State AE – CA/HI</t>
        </is>
      </c>
      <c r="F36" s="29" t="inlineStr">
        <is>
          <t>Colleen Moran</t>
        </is>
      </c>
      <c r="G36" s="39" t="inlineStr">
        <is>
          <t>Open XP2 (PT)</t>
        </is>
      </c>
      <c r="H36" s="29">
        <f>IF(F36="(not in WIP)","New to Enterprise",IF(F36=G36,"No","Yes"))</f>
        <v/>
      </c>
      <c r="I36" s="29">
        <f>IFERROR(INDEX(Lookups!$B$2:$B$14,MATCH(G36,Lookups!$A$2:$A$14,0)),"Not found")</f>
        <v/>
      </c>
      <c r="J36" s="29">
        <f>IFERROR(INDEX(Lookups!$E$2:$E$14,MATCH(G36,Lookups!$A$2:$A$14,0)),"")</f>
        <v/>
      </c>
      <c r="K36" s="39" t="inlineStr">
        <is>
          <t>PT</t>
        </is>
      </c>
      <c r="L36" s="29">
        <f>IF(J36="n/a","n/a",IFERROR(IF(ABS(INDEX(Lookups!$H$2:$H$5,MATCH(J36,Lookups!$G$2:$G$5,0))-INDEX(Lookups!$H$2:$H$5,MATCH(K36,Lookups!$G$2:$G$5,0)))&lt;=1,"Yes","No"),"Check"))</f>
        <v/>
      </c>
      <c r="M36" s="43" t="n">
        <v>144766.94</v>
      </c>
      <c r="N36" s="29" t="inlineStr">
        <is>
          <t>Yes</t>
        </is>
      </c>
      <c r="O36" s="39" t="n">
        <v>2</v>
      </c>
      <c r="P36" s="27" t="n"/>
      <c r="Q36" s="29">
        <f>IF(N36&lt;&gt;"Yes","n/a",IF(OR(AND(O36&lt;&gt;"",O36&gt;$W$1),P36="Y"),"Yes",IF(O36&lt;&gt;"","No","Pending")))</f>
        <v/>
      </c>
      <c r="R36" s="29" t="n"/>
      <c r="S36" s="29" t="inlineStr">
        <is>
          <t>Alejandro Solano</t>
        </is>
      </c>
      <c r="T36" s="29" t="inlineStr">
        <is>
          <t>State</t>
        </is>
      </c>
      <c r="U36" s="29" t="inlineStr">
        <is>
          <t>Land &amp; Vitals, Public Records Request</t>
        </is>
      </c>
      <c r="X36" s="19" t="inlineStr">
        <is>
          <t>B</t>
        </is>
      </c>
      <c r="Y36" s="19" t="n">
        <v>54.4</v>
      </c>
      <c r="Z36" s="44" t="n">
        <v>0.75</v>
      </c>
      <c r="AA36" s="51" t="n">
        <v>0.6264</v>
      </c>
      <c r="AB36" s="48" t="n">
        <v>1</v>
      </c>
      <c r="AC36" s="19" t="inlineStr">
        <is>
          <t>Growth engine</t>
        </is>
      </c>
      <c r="AD36" s="19" t="n">
        <v>1</v>
      </c>
      <c r="AE36" s="19" t="inlineStr">
        <is>
          <t>reported</t>
        </is>
      </c>
    </row>
    <row r="37" ht="15" customHeight="1" s="20">
      <c r="A37" s="29" t="inlineStr">
        <is>
          <t>California Judicial Council of California</t>
        </is>
      </c>
      <c r="B37" s="29" t="inlineStr">
        <is>
          <t>California</t>
        </is>
      </c>
      <c r="C37" s="29" t="inlineStr">
        <is>
          <t>CA</t>
        </is>
      </c>
      <c r="D37" s="29" t="inlineStr">
        <is>
          <t>State</t>
        </is>
      </c>
      <c r="E37" s="29" t="inlineStr">
        <is>
          <t>State AE – CA/HI</t>
        </is>
      </c>
      <c r="F37" s="29" t="inlineStr">
        <is>
          <t>Colleen Moran</t>
        </is>
      </c>
      <c r="G37" s="39" t="inlineStr">
        <is>
          <t>Open XP2 (PT)</t>
        </is>
      </c>
      <c r="H37" s="29">
        <f>IF(F37="(not in WIP)","New to Enterprise",IF(F37=G37,"No","Yes"))</f>
        <v/>
      </c>
      <c r="I37" s="29">
        <f>IFERROR(INDEX(Lookups!$B$2:$B$14,MATCH(G37,Lookups!$A$2:$A$14,0)),"Not found")</f>
        <v/>
      </c>
      <c r="J37" s="29">
        <f>IFERROR(INDEX(Lookups!$E$2:$E$14,MATCH(G37,Lookups!$A$2:$A$14,0)),"")</f>
        <v/>
      </c>
      <c r="K37" s="39" t="inlineStr">
        <is>
          <t>PT</t>
        </is>
      </c>
      <c r="L37" s="29">
        <f>IF(J37="n/a","n/a",IFERROR(IF(ABS(INDEX(Lookups!$H$2:$H$5,MATCH(J37,Lookups!$G$2:$G$5,0))-INDEX(Lookups!$H$2:$H$5,MATCH(K37,Lookups!$G$2:$G$5,0)))&lt;=1,"Yes","No"),"Check"))</f>
        <v/>
      </c>
      <c r="M37" s="43" t="n">
        <v>138774.03</v>
      </c>
      <c r="N37" s="29" t="inlineStr">
        <is>
          <t>Yes</t>
        </is>
      </c>
      <c r="O37" s="39" t="n">
        <v>2</v>
      </c>
      <c r="P37" s="27" t="n"/>
      <c r="Q37" s="29">
        <f>IF(N37&lt;&gt;"Yes","n/a",IF(OR(AND(O37&lt;&gt;"",O37&gt;$W$1),P37="Y"),"Yes",IF(O37&lt;&gt;"","No","Pending")))</f>
        <v/>
      </c>
      <c r="R37" s="29" t="n"/>
      <c r="S37" s="29" t="inlineStr">
        <is>
          <t>Colleen Moran</t>
        </is>
      </c>
      <c r="T37" s="29" t="inlineStr">
        <is>
          <t>State</t>
        </is>
      </c>
      <c r="U37" s="29" t="inlineStr">
        <is>
          <t>Agenda &amp; Video, Land &amp; Vitals</t>
        </is>
      </c>
      <c r="X37" s="19" t="inlineStr">
        <is>
          <t>B</t>
        </is>
      </c>
      <c r="Y37" s="19" t="n">
        <v>54.4</v>
      </c>
      <c r="Z37" s="44" t="n">
        <v>0.75</v>
      </c>
      <c r="AA37" s="51" t="n">
        <v>0.6264</v>
      </c>
      <c r="AB37" s="48" t="n">
        <v>1</v>
      </c>
      <c r="AC37" s="19" t="inlineStr">
        <is>
          <t>Growth engine</t>
        </is>
      </c>
      <c r="AD37" s="19" t="n">
        <v>1</v>
      </c>
      <c r="AE37" s="19" t="inlineStr">
        <is>
          <t>reported</t>
        </is>
      </c>
    </row>
    <row r="38" ht="15" customHeight="1" s="20">
      <c r="A38" s="29" t="inlineStr">
        <is>
          <t>California Department of General Services</t>
        </is>
      </c>
      <c r="B38" s="29" t="inlineStr">
        <is>
          <t>California</t>
        </is>
      </c>
      <c r="C38" s="29" t="inlineStr">
        <is>
          <t>CA</t>
        </is>
      </c>
      <c r="D38" s="29" t="inlineStr">
        <is>
          <t>State</t>
        </is>
      </c>
      <c r="E38" s="29" t="inlineStr">
        <is>
          <t>State AE – CA/HI</t>
        </is>
      </c>
      <c r="F38" s="29" t="inlineStr">
        <is>
          <t>Colleen Moran</t>
        </is>
      </c>
      <c r="G38" s="39" t="inlineStr">
        <is>
          <t>Open XP2 (PT)</t>
        </is>
      </c>
      <c r="H38" s="29">
        <f>IF(F38="(not in WIP)","New to Enterprise",IF(F38=G38,"No","Yes"))</f>
        <v/>
      </c>
      <c r="I38" s="29">
        <f>IFERROR(INDEX(Lookups!$B$2:$B$14,MATCH(G38,Lookups!$A$2:$A$14,0)),"Not found")</f>
        <v/>
      </c>
      <c r="J38" s="29">
        <f>IFERROR(INDEX(Lookups!$E$2:$E$14,MATCH(G38,Lookups!$A$2:$A$14,0)),"")</f>
        <v/>
      </c>
      <c r="K38" s="39" t="inlineStr">
        <is>
          <t>PT</t>
        </is>
      </c>
      <c r="L38" s="29">
        <f>IF(J38="n/a","n/a",IFERROR(IF(ABS(INDEX(Lookups!$H$2:$H$5,MATCH(J38,Lookups!$G$2:$G$5,0))-INDEX(Lookups!$H$2:$H$5,MATCH(K38,Lookups!$G$2:$G$5,0)))&lt;=1,"Yes","No"),"Check"))</f>
        <v/>
      </c>
      <c r="M38" s="43" t="n">
        <v>110539.87</v>
      </c>
      <c r="N38" s="29" t="inlineStr">
        <is>
          <t>Yes</t>
        </is>
      </c>
      <c r="O38" s="39" t="n">
        <v>3</v>
      </c>
      <c r="P38" s="27" t="n"/>
      <c r="Q38" s="29">
        <f>IF(N38&lt;&gt;"Yes","n/a",IF(OR(AND(O38&lt;&gt;"",O38&gt;$W$1),P38="Y"),"Yes",IF(O38&lt;&gt;"","No","Pending")))</f>
        <v/>
      </c>
      <c r="R38" s="29" t="n"/>
      <c r="S38" s="29" t="inlineStr">
        <is>
          <t>Colleen Moran</t>
        </is>
      </c>
      <c r="T38" s="29" t="inlineStr">
        <is>
          <t>State</t>
        </is>
      </c>
      <c r="U38" s="29" t="inlineStr">
        <is>
          <t>Email &amp; SMS, Land &amp; Vitals, Public Records Request</t>
        </is>
      </c>
      <c r="X38" s="19" t="inlineStr">
        <is>
          <t>B</t>
        </is>
      </c>
      <c r="Y38" s="19" t="n">
        <v>54.4</v>
      </c>
      <c r="Z38" s="44" t="n">
        <v>0.625</v>
      </c>
      <c r="AA38" s="51" t="n">
        <v>0.5764</v>
      </c>
      <c r="AB38" s="48" t="n">
        <v>1</v>
      </c>
      <c r="AC38" s="19" t="inlineStr">
        <is>
          <t>Growth engine</t>
        </is>
      </c>
      <c r="AD38" s="19" t="n">
        <v>1</v>
      </c>
      <c r="AE38" s="19" t="inlineStr">
        <is>
          <t>reported</t>
        </is>
      </c>
    </row>
    <row r="39" ht="15" customHeight="1" s="20">
      <c r="A39" s="29" t="inlineStr">
        <is>
          <t>California Department of State Hospitals</t>
        </is>
      </c>
      <c r="B39" s="29" t="inlineStr">
        <is>
          <t>California</t>
        </is>
      </c>
      <c r="C39" s="29" t="inlineStr">
        <is>
          <t>CA</t>
        </is>
      </c>
      <c r="D39" s="29" t="inlineStr">
        <is>
          <t>State</t>
        </is>
      </c>
      <c r="E39" s="29" t="inlineStr">
        <is>
          <t>State AE – CA/HI</t>
        </is>
      </c>
      <c r="F39" s="29" t="inlineStr">
        <is>
          <t>(not in WIP)</t>
        </is>
      </c>
      <c r="G39" s="39" t="inlineStr">
        <is>
          <t>Open XP2 (PT)</t>
        </is>
      </c>
      <c r="H39" s="29">
        <f>IF(F39="(not in WIP)","New to Enterprise",IF(F39=G39,"No","Yes"))</f>
        <v/>
      </c>
      <c r="I39" s="29">
        <f>IFERROR(INDEX(Lookups!$B$2:$B$14,MATCH(G39,Lookups!$A$2:$A$14,0)),"Not found")</f>
        <v/>
      </c>
      <c r="J39" s="29">
        <f>IFERROR(INDEX(Lookups!$E$2:$E$14,MATCH(G39,Lookups!$A$2:$A$14,0)),"")</f>
        <v/>
      </c>
      <c r="K39" s="39" t="inlineStr">
        <is>
          <t>PT</t>
        </is>
      </c>
      <c r="L39" s="29">
        <f>IF(J39="n/a","n/a",IFERROR(IF(ABS(INDEX(Lookups!$H$2:$H$5,MATCH(J39,Lookups!$G$2:$G$5,0))-INDEX(Lookups!$H$2:$H$5,MATCH(K39,Lookups!$G$2:$G$5,0)))&lt;=1,"Yes","No"),"Check"))</f>
        <v/>
      </c>
      <c r="M39" s="43" t="n">
        <v>105630.03</v>
      </c>
      <c r="N39" s="29" t="inlineStr">
        <is>
          <t>Yes</t>
        </is>
      </c>
      <c r="O39" s="39" t="n">
        <v>1</v>
      </c>
      <c r="P39" s="27" t="n"/>
      <c r="Q39" s="29">
        <f>IF(N39&lt;&gt;"Yes","n/a",IF(OR(AND(O39&lt;&gt;"",O39&gt;$W$1),P39="Y"),"Yes",IF(O39&lt;&gt;"","No","Pending")))</f>
        <v/>
      </c>
      <c r="R39" s="29" t="n"/>
      <c r="S39" s="29" t="inlineStr">
        <is>
          <t>Jake Sager</t>
        </is>
      </c>
      <c r="T39" s="29" t="inlineStr">
        <is>
          <t>State</t>
        </is>
      </c>
      <c r="U39" s="29" t="inlineStr">
        <is>
          <t>Public Records Request</t>
        </is>
      </c>
      <c r="X39" s="19" t="inlineStr">
        <is>
          <t>B</t>
        </is>
      </c>
      <c r="Y39" s="19" t="n">
        <v>54.4</v>
      </c>
      <c r="Z39" s="44" t="n">
        <v>0.875</v>
      </c>
      <c r="AA39" s="51" t="n">
        <v>0.6764</v>
      </c>
      <c r="AB39" s="48" t="n">
        <v>1</v>
      </c>
      <c r="AC39" s="19" t="inlineStr">
        <is>
          <t>Growth engine</t>
        </is>
      </c>
      <c r="AD39" s="19" t="n">
        <v>1</v>
      </c>
      <c r="AE39" s="19" t="inlineStr">
        <is>
          <t>reported</t>
        </is>
      </c>
    </row>
    <row r="40" ht="15" customHeight="1" s="20">
      <c r="A40" s="29" t="inlineStr">
        <is>
          <t>California Department of Developmental Services</t>
        </is>
      </c>
      <c r="B40" s="29" t="inlineStr">
        <is>
          <t>California</t>
        </is>
      </c>
      <c r="C40" s="29" t="inlineStr">
        <is>
          <t>CA</t>
        </is>
      </c>
      <c r="D40" s="29" t="inlineStr">
        <is>
          <t>State</t>
        </is>
      </c>
      <c r="E40" s="29" t="inlineStr">
        <is>
          <t>State AE – CA/HI</t>
        </is>
      </c>
      <c r="F40" s="29" t="inlineStr">
        <is>
          <t>Colleen Moran</t>
        </is>
      </c>
      <c r="G40" s="39" t="inlineStr">
        <is>
          <t>Open XP2 (PT)</t>
        </is>
      </c>
      <c r="H40" s="29">
        <f>IF(F40="(not in WIP)","New to Enterprise",IF(F40=G40,"No","Yes"))</f>
        <v/>
      </c>
      <c r="I40" s="29">
        <f>IFERROR(INDEX(Lookups!$B$2:$B$14,MATCH(G40,Lookups!$A$2:$A$14,0)),"Not found")</f>
        <v/>
      </c>
      <c r="J40" s="29">
        <f>IFERROR(INDEX(Lookups!$E$2:$E$14,MATCH(G40,Lookups!$A$2:$A$14,0)),"")</f>
        <v/>
      </c>
      <c r="K40" s="39" t="inlineStr">
        <is>
          <t>PT</t>
        </is>
      </c>
      <c r="L40" s="29">
        <f>IF(J40="n/a","n/a",IFERROR(IF(ABS(INDEX(Lookups!$H$2:$H$5,MATCH(J40,Lookups!$G$2:$G$5,0))-INDEX(Lookups!$H$2:$H$5,MATCH(K40,Lookups!$G$2:$G$5,0)))&lt;=1,"Yes","No"),"Check"))</f>
        <v/>
      </c>
      <c r="M40" s="43" t="n">
        <v>89556.96000000001</v>
      </c>
      <c r="N40" s="29" t="inlineStr">
        <is>
          <t>Yes</t>
        </is>
      </c>
      <c r="O40" s="39" t="n">
        <v>1</v>
      </c>
      <c r="P40" s="27" t="n"/>
      <c r="Q40" s="29">
        <f>IF(N40&lt;&gt;"Yes","n/a",IF(OR(AND(O40&lt;&gt;"",O40&gt;$W$1),P40="Y"),"Yes",IF(O40&lt;&gt;"","No","Pending")))</f>
        <v/>
      </c>
      <c r="R40" s="29" t="n"/>
      <c r="S40" s="29" t="inlineStr">
        <is>
          <t>Ashley Hill</t>
        </is>
      </c>
      <c r="T40" s="29" t="inlineStr">
        <is>
          <t>State</t>
        </is>
      </c>
      <c r="U40" s="29" t="inlineStr">
        <is>
          <t>Public Records Request</t>
        </is>
      </c>
      <c r="X40" s="19" t="inlineStr">
        <is>
          <t>B</t>
        </is>
      </c>
      <c r="Y40" s="19" t="n">
        <v>54.4</v>
      </c>
      <c r="Z40" s="44" t="n">
        <v>0.875</v>
      </c>
      <c r="AA40" s="51" t="n">
        <v>0.6764</v>
      </c>
      <c r="AB40" s="49" t="n">
        <v>2</v>
      </c>
      <c r="AC40" s="19" t="inlineStr">
        <is>
          <t>Expansion</t>
        </is>
      </c>
      <c r="AD40" s="19" t="n">
        <v>0.8</v>
      </c>
      <c r="AE40" s="19" t="inlineStr">
        <is>
          <t>reported</t>
        </is>
      </c>
    </row>
    <row r="41" ht="15" customHeight="1" s="20">
      <c r="A41" s="29" t="inlineStr">
        <is>
          <t>California Energy Commission</t>
        </is>
      </c>
      <c r="B41" s="29" t="inlineStr">
        <is>
          <t>California</t>
        </is>
      </c>
      <c r="C41" s="29" t="inlineStr">
        <is>
          <t>CA</t>
        </is>
      </c>
      <c r="D41" s="29" t="inlineStr">
        <is>
          <t>State</t>
        </is>
      </c>
      <c r="E41" s="29" t="inlineStr">
        <is>
          <t>State AE – CA/HI</t>
        </is>
      </c>
      <c r="F41" s="29" t="inlineStr">
        <is>
          <t>Colleen Moran</t>
        </is>
      </c>
      <c r="G41" s="39" t="inlineStr">
        <is>
          <t>Open XP2 (PT)</t>
        </is>
      </c>
      <c r="H41" s="29">
        <f>IF(F41="(not in WIP)","New to Enterprise",IF(F41=G41,"No","Yes"))</f>
        <v/>
      </c>
      <c r="I41" s="29">
        <f>IFERROR(INDEX(Lookups!$B$2:$B$14,MATCH(G41,Lookups!$A$2:$A$14,0)),"Not found")</f>
        <v/>
      </c>
      <c r="J41" s="29">
        <f>IFERROR(INDEX(Lookups!$E$2:$E$14,MATCH(G41,Lookups!$A$2:$A$14,0)),"")</f>
        <v/>
      </c>
      <c r="K41" s="39" t="inlineStr">
        <is>
          <t>PT</t>
        </is>
      </c>
      <c r="L41" s="29">
        <f>IF(J41="n/a","n/a",IFERROR(IF(ABS(INDEX(Lookups!$H$2:$H$5,MATCH(J41,Lookups!$G$2:$G$5,0))-INDEX(Lookups!$H$2:$H$5,MATCH(K41,Lookups!$G$2:$G$5,0)))&lt;=1,"Yes","No"),"Check"))</f>
        <v/>
      </c>
      <c r="M41" s="43" t="n">
        <v>89258.56</v>
      </c>
      <c r="N41" s="29" t="inlineStr">
        <is>
          <t>Yes</t>
        </is>
      </c>
      <c r="O41" s="39" t="n">
        <v>2</v>
      </c>
      <c r="P41" s="27" t="n"/>
      <c r="Q41" s="29">
        <f>IF(N41&lt;&gt;"Yes","n/a",IF(OR(AND(O41&lt;&gt;"",O41&gt;$W$1),P41="Y"),"Yes",IF(O41&lt;&gt;"","No","Pending")))</f>
        <v/>
      </c>
      <c r="R41" s="29" t="n"/>
      <c r="S41" s="29" t="inlineStr">
        <is>
          <t>Natalia Sanchez</t>
        </is>
      </c>
      <c r="T41" s="29" t="inlineStr">
        <is>
          <t>State</t>
        </is>
      </c>
      <c r="U41" s="29" t="inlineStr">
        <is>
          <t>Land &amp; Vitals, Public Records Request</t>
        </is>
      </c>
      <c r="X41" s="19" t="inlineStr">
        <is>
          <t>B</t>
        </is>
      </c>
      <c r="Y41" s="19" t="n">
        <v>54.4</v>
      </c>
      <c r="Z41" s="44" t="n">
        <v>0.75</v>
      </c>
      <c r="AA41" s="51" t="n">
        <v>0.6264</v>
      </c>
      <c r="AB41" s="49" t="n">
        <v>2</v>
      </c>
      <c r="AC41" s="19" t="inlineStr">
        <is>
          <t>Expansion</t>
        </is>
      </c>
      <c r="AD41" s="19" t="n">
        <v>0.8</v>
      </c>
      <c r="AE41" s="19" t="inlineStr">
        <is>
          <t>reported</t>
        </is>
      </c>
    </row>
    <row r="42" ht="15" customHeight="1" s="20">
      <c r="A42" s="29" t="inlineStr">
        <is>
          <t>California Alcoholic Beverage Control Department</t>
        </is>
      </c>
      <c r="B42" s="29" t="inlineStr">
        <is>
          <t>California</t>
        </is>
      </c>
      <c r="C42" s="29" t="inlineStr">
        <is>
          <t>CA</t>
        </is>
      </c>
      <c r="D42" s="29" t="inlineStr">
        <is>
          <t>State</t>
        </is>
      </c>
      <c r="E42" s="29" t="inlineStr">
        <is>
          <t>State AE – CA/HI</t>
        </is>
      </c>
      <c r="F42" s="29" t="inlineStr">
        <is>
          <t>Colleen Moran</t>
        </is>
      </c>
      <c r="G42" s="39" t="inlineStr">
        <is>
          <t>Open XP2 (PT)</t>
        </is>
      </c>
      <c r="H42" s="29">
        <f>IF(F42="(not in WIP)","New to Enterprise",IF(F42=G42,"No","Yes"))</f>
        <v/>
      </c>
      <c r="I42" s="29">
        <f>IFERROR(INDEX(Lookups!$B$2:$B$14,MATCH(G42,Lookups!$A$2:$A$14,0)),"Not found")</f>
        <v/>
      </c>
      <c r="J42" s="29">
        <f>IFERROR(INDEX(Lookups!$E$2:$E$14,MATCH(G42,Lookups!$A$2:$A$14,0)),"")</f>
        <v/>
      </c>
      <c r="K42" s="39" t="inlineStr">
        <is>
          <t>PT</t>
        </is>
      </c>
      <c r="L42" s="29">
        <f>IF(J42="n/a","n/a",IFERROR(IF(ABS(INDEX(Lookups!$H$2:$H$5,MATCH(J42,Lookups!$G$2:$G$5,0))-INDEX(Lookups!$H$2:$H$5,MATCH(K42,Lookups!$G$2:$G$5,0)))&lt;=1,"Yes","No"),"Check"))</f>
        <v/>
      </c>
      <c r="M42" s="43" t="n">
        <v>76547.55</v>
      </c>
      <c r="N42" s="29" t="inlineStr">
        <is>
          <t>Yes</t>
        </is>
      </c>
      <c r="O42" s="39" t="n">
        <v>1</v>
      </c>
      <c r="P42" s="27" t="n"/>
      <c r="Q42" s="29">
        <f>IF(N42&lt;&gt;"Yes","n/a",IF(OR(AND(O42&lt;&gt;"",O42&gt;$W$1),P42="Y"),"Yes",IF(O42&lt;&gt;"","No","Pending")))</f>
        <v/>
      </c>
      <c r="R42" s="29" t="n"/>
      <c r="S42" s="29" t="inlineStr">
        <is>
          <t>Andrés Pérez</t>
        </is>
      </c>
      <c r="T42" s="29" t="inlineStr">
        <is>
          <t>State</t>
        </is>
      </c>
      <c r="U42" s="29" t="inlineStr">
        <is>
          <t>Public Records Request</t>
        </is>
      </c>
      <c r="X42" s="19" t="inlineStr">
        <is>
          <t>B</t>
        </is>
      </c>
      <c r="Y42" s="19" t="n">
        <v>54.4</v>
      </c>
      <c r="Z42" s="44" t="n">
        <v>0.875</v>
      </c>
      <c r="AA42" s="51" t="n">
        <v>0.6764</v>
      </c>
      <c r="AB42" s="49" t="n">
        <v>2</v>
      </c>
      <c r="AC42" s="19" t="inlineStr">
        <is>
          <t>Expansion</t>
        </is>
      </c>
      <c r="AD42" s="19" t="n">
        <v>0.8</v>
      </c>
      <c r="AE42" s="19" t="inlineStr">
        <is>
          <t>reported</t>
        </is>
      </c>
    </row>
    <row r="43" ht="15" customHeight="1" s="20">
      <c r="A43" s="29" t="inlineStr">
        <is>
          <t>California Department of Forestry and Fire Protection</t>
        </is>
      </c>
      <c r="B43" s="29" t="inlineStr">
        <is>
          <t>California</t>
        </is>
      </c>
      <c r="C43" s="29" t="inlineStr">
        <is>
          <t>CA</t>
        </is>
      </c>
      <c r="D43" s="29" t="inlineStr">
        <is>
          <t>State</t>
        </is>
      </c>
      <c r="E43" s="29" t="inlineStr">
        <is>
          <t>State AE – CA/HI</t>
        </is>
      </c>
      <c r="F43" s="29" t="inlineStr">
        <is>
          <t>Colleen Moran</t>
        </is>
      </c>
      <c r="G43" s="39" t="inlineStr">
        <is>
          <t>Open XP2 (PT)</t>
        </is>
      </c>
      <c r="H43" s="29">
        <f>IF(F43="(not in WIP)","New to Enterprise",IF(F43=G43,"No","Yes"))</f>
        <v/>
      </c>
      <c r="I43" s="29">
        <f>IFERROR(INDEX(Lookups!$B$2:$B$14,MATCH(G43,Lookups!$A$2:$A$14,0)),"Not found")</f>
        <v/>
      </c>
      <c r="J43" s="29">
        <f>IFERROR(INDEX(Lookups!$E$2:$E$14,MATCH(G43,Lookups!$A$2:$A$14,0)),"")</f>
        <v/>
      </c>
      <c r="K43" s="39" t="inlineStr">
        <is>
          <t>PT</t>
        </is>
      </c>
      <c r="L43" s="29">
        <f>IF(J43="n/a","n/a",IFERROR(IF(ABS(INDEX(Lookups!$H$2:$H$5,MATCH(J43,Lookups!$G$2:$G$5,0))-INDEX(Lookups!$H$2:$H$5,MATCH(K43,Lookups!$G$2:$G$5,0)))&lt;=1,"Yes","No"),"Check"))</f>
        <v/>
      </c>
      <c r="M43" s="43" t="n">
        <v>60005.9</v>
      </c>
      <c r="N43" s="29" t="inlineStr">
        <is>
          <t>Yes</t>
        </is>
      </c>
      <c r="O43" s="39" t="n">
        <v>1</v>
      </c>
      <c r="P43" s="27" t="n"/>
      <c r="Q43" s="29">
        <f>IF(N43&lt;&gt;"Yes","n/a",IF(OR(AND(O43&lt;&gt;"",O43&gt;$W$1),P43="Y"),"Yes",IF(O43&lt;&gt;"","No","Pending")))</f>
        <v/>
      </c>
      <c r="R43" s="29" t="n"/>
      <c r="S43" s="29" t="inlineStr">
        <is>
          <t>Colleen Moran</t>
        </is>
      </c>
      <c r="T43" s="29" t="inlineStr">
        <is>
          <t>State</t>
        </is>
      </c>
      <c r="U43" s="29" t="inlineStr">
        <is>
          <t>Public Records Request</t>
        </is>
      </c>
      <c r="X43" s="19" t="inlineStr">
        <is>
          <t>B</t>
        </is>
      </c>
      <c r="Y43" s="19" t="n">
        <v>54.4</v>
      </c>
      <c r="Z43" s="44" t="n">
        <v>0.875</v>
      </c>
      <c r="AA43" s="51" t="n">
        <v>0.6764</v>
      </c>
      <c r="AB43" s="49" t="n">
        <v>2</v>
      </c>
      <c r="AC43" s="19" t="inlineStr">
        <is>
          <t>Expansion</t>
        </is>
      </c>
      <c r="AD43" s="19" t="n">
        <v>0.8</v>
      </c>
      <c r="AE43" s="19" t="inlineStr">
        <is>
          <t>reported</t>
        </is>
      </c>
    </row>
    <row r="44" ht="15" customHeight="1" s="20">
      <c r="A44" s="29" t="inlineStr">
        <is>
          <t>California Board of State &amp; Community Corrections</t>
        </is>
      </c>
      <c r="B44" s="29" t="inlineStr">
        <is>
          <t>California</t>
        </is>
      </c>
      <c r="C44" s="29" t="inlineStr">
        <is>
          <t>CA</t>
        </is>
      </c>
      <c r="D44" s="29" t="inlineStr">
        <is>
          <t>State</t>
        </is>
      </c>
      <c r="E44" s="29" t="inlineStr">
        <is>
          <t>State AE – CA/HI</t>
        </is>
      </c>
      <c r="F44" s="29" t="inlineStr">
        <is>
          <t>Colleen Moran</t>
        </is>
      </c>
      <c r="G44" s="39" t="inlineStr">
        <is>
          <t>Open XP2 (PT)</t>
        </is>
      </c>
      <c r="H44" s="29">
        <f>IF(F44="(not in WIP)","New to Enterprise",IF(F44=G44,"No","Yes"))</f>
        <v/>
      </c>
      <c r="I44" s="29">
        <f>IFERROR(INDEX(Lookups!$B$2:$B$14,MATCH(G44,Lookups!$A$2:$A$14,0)),"Not found")</f>
        <v/>
      </c>
      <c r="J44" s="29">
        <f>IFERROR(INDEX(Lookups!$E$2:$E$14,MATCH(G44,Lookups!$A$2:$A$14,0)),"")</f>
        <v/>
      </c>
      <c r="K44" s="39" t="inlineStr">
        <is>
          <t>PT</t>
        </is>
      </c>
      <c r="L44" s="29">
        <f>IF(J44="n/a","n/a",IFERROR(IF(ABS(INDEX(Lookups!$H$2:$H$5,MATCH(J44,Lookups!$G$2:$G$5,0))-INDEX(Lookups!$H$2:$H$5,MATCH(K44,Lookups!$G$2:$G$5,0)))&lt;=1,"Yes","No"),"Check"))</f>
        <v/>
      </c>
      <c r="M44" s="43" t="n">
        <v>27130.91</v>
      </c>
      <c r="N44" s="29" t="inlineStr">
        <is>
          <t>Yes</t>
        </is>
      </c>
      <c r="O44" s="39" t="n">
        <v>1</v>
      </c>
      <c r="P44" s="27" t="n"/>
      <c r="Q44" s="29">
        <f>IF(N44&lt;&gt;"Yes","n/a",IF(OR(AND(O44&lt;&gt;"",O44&gt;$W$1),P44="Y"),"Yes",IF(O44&lt;&gt;"","No","Pending")))</f>
        <v/>
      </c>
      <c r="R44" s="29" t="n"/>
      <c r="S44" s="29" t="inlineStr">
        <is>
          <t>Andrés Pérez</t>
        </is>
      </c>
      <c r="T44" s="29" t="inlineStr">
        <is>
          <t>State</t>
        </is>
      </c>
      <c r="U44" s="29" t="inlineStr">
        <is>
          <t>Land &amp; Vitals</t>
        </is>
      </c>
      <c r="X44" s="19" t="inlineStr">
        <is>
          <t>B</t>
        </is>
      </c>
      <c r="Y44" s="19" t="n">
        <v>54.4</v>
      </c>
      <c r="Z44" s="44" t="n">
        <v>0.875</v>
      </c>
      <c r="AA44" s="51" t="n">
        <v>0.6764</v>
      </c>
      <c r="AB44" s="49" t="n">
        <v>2</v>
      </c>
      <c r="AC44" s="19" t="inlineStr">
        <is>
          <t>Expansion</t>
        </is>
      </c>
      <c r="AD44" s="19" t="n">
        <v>0.8</v>
      </c>
      <c r="AE44" s="19" t="inlineStr">
        <is>
          <t>reported</t>
        </is>
      </c>
    </row>
    <row r="45" ht="15" customHeight="1" s="20">
      <c r="A45" s="29" t="inlineStr">
        <is>
          <t>Yavapai County AZ</t>
        </is>
      </c>
      <c r="B45" s="29" t="inlineStr">
        <is>
          <t>Yavapai County AZ</t>
        </is>
      </c>
      <c r="C45" s="29" t="inlineStr">
        <is>
          <t>AZ</t>
        </is>
      </c>
      <c r="D45" s="29" t="inlineStr">
        <is>
          <t>Local ENT</t>
        </is>
      </c>
      <c r="E45" s="29" t="inlineStr">
        <is>
          <t>Stephen Allen</t>
        </is>
      </c>
      <c r="F45" s="29" t="inlineStr">
        <is>
          <t>Cody Nichols</t>
        </is>
      </c>
      <c r="G45" s="39" t="inlineStr">
        <is>
          <t>Cody Nichols</t>
        </is>
      </c>
      <c r="H45" s="29">
        <f>IF(F45="(not in WIP)","New to Enterprise",IF(F45=G45,"No","Yes"))</f>
        <v/>
      </c>
      <c r="I45" s="29">
        <f>IFERROR(INDEX(Lookups!$B$2:$B$14,MATCH(G45,Lookups!$A$2:$A$14,0)),"Not found")</f>
        <v/>
      </c>
      <c r="J45" s="29">
        <f>IFERROR(INDEX(Lookups!$E$2:$E$14,MATCH(G45,Lookups!$A$2:$A$14,0)),"")</f>
        <v/>
      </c>
      <c r="K45" s="39" t="inlineStr">
        <is>
          <t>MT</t>
        </is>
      </c>
      <c r="L45" s="29">
        <f>IF(J45="n/a","n/a",IFERROR(IF(ABS(INDEX(Lookups!$H$2:$H$5,MATCH(J45,Lookups!$G$2:$G$5,0))-INDEX(Lookups!$H$2:$H$5,MATCH(K45,Lookups!$G$2:$G$5,0)))&lt;=1,"Yes","No"),"Check"))</f>
        <v/>
      </c>
      <c r="M45" s="43" t="n">
        <v>143594.99</v>
      </c>
      <c r="N45" s="29" t="inlineStr">
        <is>
          <t>Yes</t>
        </is>
      </c>
      <c r="O45" s="39" t="n">
        <v>6</v>
      </c>
      <c r="P45" s="27" t="n"/>
      <c r="Q45" s="29">
        <f>IF(N45&lt;&gt;"Yes","n/a",IF(OR(AND(O45&lt;&gt;"",O45&gt;$W$1),P45="Y"),"Yes",IF(O45&lt;&gt;"","No","Pending")))</f>
        <v/>
      </c>
      <c r="R45" s="29" t="n"/>
      <c r="S45" s="29" t="inlineStr">
        <is>
          <t>Natalia Sanchez</t>
        </is>
      </c>
      <c r="T45" s="29" t="inlineStr">
        <is>
          <t>Local ENT</t>
        </is>
      </c>
      <c r="U45" s="29" t="inlineStr">
        <is>
          <t>Agenda &amp; Video, Email &amp; SMS, Engagement &amp; Sentiment, Forms &amp; Workflows, Recurring Services, Websites, Portals, &amp; Intranets</t>
        </is>
      </c>
      <c r="X45" s="19" t="inlineStr">
        <is>
          <t>B</t>
        </is>
      </c>
      <c r="Y45" s="19" t="n">
        <v>57.3</v>
      </c>
      <c r="Z45" s="44" t="n">
        <v>0.25</v>
      </c>
      <c r="AA45" s="51" t="n">
        <v>0.4438</v>
      </c>
      <c r="AB45" s="46" t="n">
        <v>3</v>
      </c>
      <c r="AC45" s="19" t="inlineStr">
        <is>
          <t>Defend</t>
        </is>
      </c>
      <c r="AD45" s="19" t="n">
        <v>0.5</v>
      </c>
      <c r="AE45" s="19" t="inlineStr">
        <is>
          <t>reported</t>
        </is>
      </c>
    </row>
    <row r="46" ht="15" customHeight="1" s="20">
      <c r="A46" s="29" t="inlineStr">
        <is>
          <t>Yuma County AZ</t>
        </is>
      </c>
      <c r="B46" s="29" t="inlineStr">
        <is>
          <t>Yuma County AZ</t>
        </is>
      </c>
      <c r="C46" s="29" t="inlineStr">
        <is>
          <t>AZ</t>
        </is>
      </c>
      <c r="D46" s="29" t="inlineStr">
        <is>
          <t>Local ENT</t>
        </is>
      </c>
      <c r="E46" s="29" t="inlineStr">
        <is>
          <t>Stephen Allen</t>
        </is>
      </c>
      <c r="F46" s="29" t="inlineStr">
        <is>
          <t>Cody Nichols</t>
        </is>
      </c>
      <c r="G46" s="39" t="inlineStr">
        <is>
          <t>Cody Nichols</t>
        </is>
      </c>
      <c r="H46" s="29">
        <f>IF(F46="(not in WIP)","New to Enterprise",IF(F46=G46,"No","Yes"))</f>
        <v/>
      </c>
      <c r="I46" s="29">
        <f>IFERROR(INDEX(Lookups!$B$2:$B$14,MATCH(G46,Lookups!$A$2:$A$14,0)),"Not found")</f>
        <v/>
      </c>
      <c r="J46" s="29">
        <f>IFERROR(INDEX(Lookups!$E$2:$E$14,MATCH(G46,Lookups!$A$2:$A$14,0)),"")</f>
        <v/>
      </c>
      <c r="K46" s="39" t="inlineStr">
        <is>
          <t>MT</t>
        </is>
      </c>
      <c r="L46" s="29">
        <f>IF(J46="n/a","n/a",IFERROR(IF(ABS(INDEX(Lookups!$H$2:$H$5,MATCH(J46,Lookups!$G$2:$G$5,0))-INDEX(Lookups!$H$2:$H$5,MATCH(K46,Lookups!$G$2:$G$5,0)))&lt;=1,"Yes","No"),"Check"))</f>
        <v/>
      </c>
      <c r="M46" s="43" t="n">
        <v>38369.12</v>
      </c>
      <c r="N46" s="29" t="inlineStr">
        <is>
          <t>Yes</t>
        </is>
      </c>
      <c r="O46" s="39" t="n">
        <v>5</v>
      </c>
      <c r="P46" s="27" t="n"/>
      <c r="Q46" s="29">
        <f>IF(N46&lt;&gt;"Yes","n/a",IF(OR(AND(O46&lt;&gt;"",O46&gt;$W$1),P46="Y"),"Yes",IF(O46&lt;&gt;"","No","Pending")))</f>
        <v/>
      </c>
      <c r="R46" s="29" t="n"/>
      <c r="S46" s="29" t="inlineStr">
        <is>
          <t>Carlos Torres</t>
        </is>
      </c>
      <c r="T46" s="29" t="inlineStr">
        <is>
          <t>Local ENT</t>
        </is>
      </c>
      <c r="U46" s="29" t="inlineStr">
        <is>
          <t>Email &amp; SMS, Engagement &amp; Sentiment, Forms &amp; Workflows, Recurring Services, Websites, Portals, &amp; Intranets</t>
        </is>
      </c>
      <c r="X46" s="19" t="inlineStr">
        <is>
          <t>B</t>
        </is>
      </c>
      <c r="Y46" s="19" t="n">
        <v>57.3</v>
      </c>
      <c r="Z46" s="44" t="n">
        <v>0.375</v>
      </c>
      <c r="AA46" s="51" t="n">
        <v>0.4938</v>
      </c>
      <c r="AB46" s="47" t="n">
        <v>4</v>
      </c>
      <c r="AC46" s="19" t="inlineStr">
        <is>
          <t>Maintain</t>
        </is>
      </c>
      <c r="AD46" s="19" t="n">
        <v>0.3</v>
      </c>
      <c r="AE46" s="19" t="inlineStr">
        <is>
          <t>reported</t>
        </is>
      </c>
    </row>
    <row r="47" ht="15" customHeight="1" s="20">
      <c r="A47" s="29" t="inlineStr">
        <is>
          <t>Arizona Department of Transportation</t>
        </is>
      </c>
      <c r="B47" s="29" t="inlineStr">
        <is>
          <t>Arizona (HOLD FOR PARENT ACCOUNT)</t>
        </is>
      </c>
      <c r="C47" s="29" t="inlineStr">
        <is>
          <t>AZ</t>
        </is>
      </c>
      <c r="D47" s="29" t="inlineStr">
        <is>
          <t>State</t>
        </is>
      </c>
      <c r="E47" s="29" t="inlineStr">
        <is>
          <t>Cameron Chadsey</t>
        </is>
      </c>
      <c r="F47" s="29" t="inlineStr">
        <is>
          <t>Cody Nichols</t>
        </is>
      </c>
      <c r="G47" s="39" t="inlineStr">
        <is>
          <t>Cody Nichols</t>
        </is>
      </c>
      <c r="H47" s="29">
        <f>IF(F47="(not in WIP)","New to Enterprise",IF(F47=G47,"No","Yes"))</f>
        <v/>
      </c>
      <c r="I47" s="29">
        <f>IFERROR(INDEX(Lookups!$B$2:$B$14,MATCH(G47,Lookups!$A$2:$A$14,0)),"Not found")</f>
        <v/>
      </c>
      <c r="J47" s="29">
        <f>IFERROR(INDEX(Lookups!$E$2:$E$14,MATCH(G47,Lookups!$A$2:$A$14,0)),"")</f>
        <v/>
      </c>
      <c r="K47" s="39" t="inlineStr">
        <is>
          <t>MT</t>
        </is>
      </c>
      <c r="L47" s="29">
        <f>IF(J47="n/a","n/a",IFERROR(IF(ABS(INDEX(Lookups!$H$2:$H$5,MATCH(J47,Lookups!$G$2:$G$5,0))-INDEX(Lookups!$H$2:$H$5,MATCH(K47,Lookups!$G$2:$G$5,0)))&lt;=1,"Yes","No"),"Check"))</f>
        <v/>
      </c>
      <c r="M47" s="43" t="n">
        <v>140546.46</v>
      </c>
      <c r="N47" s="29" t="inlineStr">
        <is>
          <t>Yes</t>
        </is>
      </c>
      <c r="O47" s="39" t="n">
        <v>2</v>
      </c>
      <c r="P47" s="27" t="n"/>
      <c r="Q47" s="29">
        <f>IF(N47&lt;&gt;"Yes","n/a",IF(OR(AND(O47&lt;&gt;"",O47&gt;$W$1),P47="Y"),"Yes",IF(O47&lt;&gt;"","No","Pending")))</f>
        <v/>
      </c>
      <c r="R47" s="29" t="n"/>
      <c r="S47" s="29" t="inlineStr">
        <is>
          <t>Carolina Cambronero</t>
        </is>
      </c>
      <c r="T47" s="29" t="inlineStr">
        <is>
          <t>State</t>
        </is>
      </c>
      <c r="U47" s="29" t="inlineStr">
        <is>
          <t>Email &amp; SMS, Public Records Request</t>
        </is>
      </c>
      <c r="X47" s="19" t="inlineStr">
        <is>
          <t>C</t>
        </is>
      </c>
      <c r="Y47" s="19" t="n">
        <v>46.6</v>
      </c>
      <c r="Z47" s="44" t="n">
        <v>0.75</v>
      </c>
      <c r="AA47" s="51" t="n">
        <v>0.5796</v>
      </c>
      <c r="AB47" s="48" t="n">
        <v>1</v>
      </c>
      <c r="AC47" s="19" t="inlineStr">
        <is>
          <t>Growth engine</t>
        </is>
      </c>
      <c r="AD47" s="19" t="n">
        <v>1</v>
      </c>
      <c r="AE47" s="19" t="inlineStr">
        <is>
          <t>reported</t>
        </is>
      </c>
    </row>
    <row r="48" ht="15" customHeight="1" s="20">
      <c r="A48" s="29" t="inlineStr">
        <is>
          <t>Arizona Department of Environmental Quality</t>
        </is>
      </c>
      <c r="B48" s="29" t="inlineStr">
        <is>
          <t>Arizona (HOLD FOR PARENT ACCOUNT)</t>
        </is>
      </c>
      <c r="C48" s="29" t="inlineStr">
        <is>
          <t>AZ</t>
        </is>
      </c>
      <c r="D48" s="29" t="inlineStr">
        <is>
          <t>State</t>
        </is>
      </c>
      <c r="E48" s="29" t="inlineStr">
        <is>
          <t>Cameron Chadsey</t>
        </is>
      </c>
      <c r="F48" s="29" t="inlineStr">
        <is>
          <t>Cody Nichols</t>
        </is>
      </c>
      <c r="G48" s="39" t="inlineStr">
        <is>
          <t>Cody Nichols</t>
        </is>
      </c>
      <c r="H48" s="29">
        <f>IF(F48="(not in WIP)","New to Enterprise",IF(F48=G48,"No","Yes"))</f>
        <v/>
      </c>
      <c r="I48" s="29">
        <f>IFERROR(INDEX(Lookups!$B$2:$B$14,MATCH(G48,Lookups!$A$2:$A$14,0)),"Not found")</f>
        <v/>
      </c>
      <c r="J48" s="29">
        <f>IFERROR(INDEX(Lookups!$E$2:$E$14,MATCH(G48,Lookups!$A$2:$A$14,0)),"")</f>
        <v/>
      </c>
      <c r="K48" s="39" t="inlineStr">
        <is>
          <t>MT</t>
        </is>
      </c>
      <c r="L48" s="29">
        <f>IF(J48="n/a","n/a",IFERROR(IF(ABS(INDEX(Lookups!$H$2:$H$5,MATCH(J48,Lookups!$G$2:$G$5,0))-INDEX(Lookups!$H$2:$H$5,MATCH(K48,Lookups!$G$2:$G$5,0)))&lt;=1,"Yes","No"),"Check"))</f>
        <v/>
      </c>
      <c r="M48" s="43" t="n">
        <v>110102.21</v>
      </c>
      <c r="N48" s="29" t="inlineStr">
        <is>
          <t>Yes</t>
        </is>
      </c>
      <c r="O48" s="39" t="n">
        <v>4</v>
      </c>
      <c r="P48" s="27" t="n"/>
      <c r="Q48" s="29">
        <f>IF(N48&lt;&gt;"Yes","n/a",IF(OR(AND(O48&lt;&gt;"",O48&gt;$W$1),P48="Y"),"Yes",IF(O48&lt;&gt;"","No","Pending")))</f>
        <v/>
      </c>
      <c r="R48" s="29" t="n"/>
      <c r="S48" s="29" t="inlineStr">
        <is>
          <t>Ashley Hill</t>
        </is>
      </c>
      <c r="T48" s="29" t="inlineStr">
        <is>
          <t>State</t>
        </is>
      </c>
      <c r="U48" s="29" t="inlineStr">
        <is>
          <t>Email &amp; SMS, Engagement &amp; Sentiment, Public Records Request, Recurring Services</t>
        </is>
      </c>
      <c r="X48" s="19" t="inlineStr">
        <is>
          <t>C</t>
        </is>
      </c>
      <c r="Y48" s="19" t="n">
        <v>46.6</v>
      </c>
      <c r="Z48" s="44" t="n">
        <v>0.5</v>
      </c>
      <c r="AA48" s="51" t="n">
        <v>0.4796</v>
      </c>
      <c r="AB48" s="46" t="n">
        <v>3</v>
      </c>
      <c r="AC48" s="19" t="inlineStr">
        <is>
          <t>Defend</t>
        </is>
      </c>
      <c r="AD48" s="19" t="n">
        <v>0.5</v>
      </c>
      <c r="AE48" s="19" t="inlineStr">
        <is>
          <t>reported</t>
        </is>
      </c>
    </row>
    <row r="49" ht="15" customHeight="1" s="20">
      <c r="A49" s="29" t="inlineStr">
        <is>
          <t>Arizona Department of Gaming</t>
        </is>
      </c>
      <c r="B49" s="29" t="inlineStr">
        <is>
          <t>Arizona (HOLD FOR PARENT ACCOUNT)</t>
        </is>
      </c>
      <c r="C49" s="29" t="inlineStr">
        <is>
          <t>AZ</t>
        </is>
      </c>
      <c r="D49" s="29" t="inlineStr">
        <is>
          <t>State</t>
        </is>
      </c>
      <c r="E49" s="29" t="inlineStr">
        <is>
          <t>Cameron Chadsey</t>
        </is>
      </c>
      <c r="F49" s="29" t="inlineStr">
        <is>
          <t>Cody Nichols</t>
        </is>
      </c>
      <c r="G49" s="39" t="inlineStr">
        <is>
          <t>Cody Nichols</t>
        </is>
      </c>
      <c r="H49" s="29">
        <f>IF(F49="(not in WIP)","New to Enterprise",IF(F49=G49,"No","Yes"))</f>
        <v/>
      </c>
      <c r="I49" s="29">
        <f>IFERROR(INDEX(Lookups!$B$2:$B$14,MATCH(G49,Lookups!$A$2:$A$14,0)),"Not found")</f>
        <v/>
      </c>
      <c r="J49" s="29">
        <f>IFERROR(INDEX(Lookups!$E$2:$E$14,MATCH(G49,Lookups!$A$2:$A$14,0)),"")</f>
        <v/>
      </c>
      <c r="K49" s="39" t="inlineStr">
        <is>
          <t>MT</t>
        </is>
      </c>
      <c r="L49" s="29">
        <f>IF(J49="n/a","n/a",IFERROR(IF(ABS(INDEX(Lookups!$H$2:$H$5,MATCH(J49,Lookups!$G$2:$G$5,0))-INDEX(Lookups!$H$2:$H$5,MATCH(K49,Lookups!$G$2:$G$5,0)))&lt;=1,"Yes","No"),"Check"))</f>
        <v/>
      </c>
      <c r="M49" s="43" t="n">
        <v>109403.15</v>
      </c>
      <c r="N49" s="29" t="inlineStr">
        <is>
          <t>Yes</t>
        </is>
      </c>
      <c r="O49" s="39" t="n">
        <v>2</v>
      </c>
      <c r="P49" s="27" t="n"/>
      <c r="Q49" s="29">
        <f>IF(N49&lt;&gt;"Yes","n/a",IF(OR(AND(O49&lt;&gt;"",O49&gt;$W$1),P49="Y"),"Yes",IF(O49&lt;&gt;"","No","Pending")))</f>
        <v/>
      </c>
      <c r="R49" s="29" t="n"/>
      <c r="S49" s="29" t="inlineStr">
        <is>
          <t>Marcy Castro</t>
        </is>
      </c>
      <c r="T49" s="29" t="inlineStr">
        <is>
          <t>State</t>
        </is>
      </c>
      <c r="U49" s="29" t="inlineStr">
        <is>
          <t>Channel Shift, Public Records Request</t>
        </is>
      </c>
      <c r="X49" s="19" t="inlineStr">
        <is>
          <t>C</t>
        </is>
      </c>
      <c r="Y49" s="19" t="n">
        <v>46.6</v>
      </c>
      <c r="Z49" s="44" t="n">
        <v>0.75</v>
      </c>
      <c r="AA49" s="51" t="n">
        <v>0.5796</v>
      </c>
      <c r="AB49" s="48" t="n">
        <v>1</v>
      </c>
      <c r="AC49" s="19" t="inlineStr">
        <is>
          <t>Growth engine</t>
        </is>
      </c>
      <c r="AD49" s="19" t="n">
        <v>1</v>
      </c>
      <c r="AE49" s="19" t="inlineStr">
        <is>
          <t>reported</t>
        </is>
      </c>
    </row>
    <row r="50" ht="15" customHeight="1" s="20">
      <c r="A50" s="29" t="inlineStr">
        <is>
          <t>Arizona Department of Economic Security</t>
        </is>
      </c>
      <c r="B50" s="29" t="inlineStr">
        <is>
          <t>Arizona (HOLD FOR PARENT ACCOUNT)</t>
        </is>
      </c>
      <c r="C50" s="29" t="inlineStr">
        <is>
          <t>AZ</t>
        </is>
      </c>
      <c r="D50" s="29" t="inlineStr">
        <is>
          <t>State</t>
        </is>
      </c>
      <c r="E50" s="29" t="inlineStr">
        <is>
          <t>Cameron Chadsey</t>
        </is>
      </c>
      <c r="F50" s="29" t="inlineStr">
        <is>
          <t>Cody Nichols</t>
        </is>
      </c>
      <c r="G50" s="39" t="inlineStr">
        <is>
          <t>Cody Nichols</t>
        </is>
      </c>
      <c r="H50" s="29">
        <f>IF(F50="(not in WIP)","New to Enterprise",IF(F50=G50,"No","Yes"))</f>
        <v/>
      </c>
      <c r="I50" s="29">
        <f>IFERROR(INDEX(Lookups!$B$2:$B$14,MATCH(G50,Lookups!$A$2:$A$14,0)),"Not found")</f>
        <v/>
      </c>
      <c r="J50" s="29">
        <f>IFERROR(INDEX(Lookups!$E$2:$E$14,MATCH(G50,Lookups!$A$2:$A$14,0)),"")</f>
        <v/>
      </c>
      <c r="K50" s="39" t="inlineStr">
        <is>
          <t>MT</t>
        </is>
      </c>
      <c r="L50" s="29">
        <f>IF(J50="n/a","n/a",IFERROR(IF(ABS(INDEX(Lookups!$H$2:$H$5,MATCH(J50,Lookups!$G$2:$G$5,0))-INDEX(Lookups!$H$2:$H$5,MATCH(K50,Lookups!$G$2:$G$5,0)))&lt;=1,"Yes","No"),"Check"))</f>
        <v/>
      </c>
      <c r="M50" s="43" t="n">
        <v>87743.48</v>
      </c>
      <c r="N50" s="29" t="inlineStr">
        <is>
          <t>Yes</t>
        </is>
      </c>
      <c r="O50" s="39" t="n">
        <v>1</v>
      </c>
      <c r="P50" s="27" t="n"/>
      <c r="Q50" s="29">
        <f>IF(N50&lt;&gt;"Yes","n/a",IF(OR(AND(O50&lt;&gt;"",O50&gt;$W$1),P50="Y"),"Yes",IF(O50&lt;&gt;"","No","Pending")))</f>
        <v/>
      </c>
      <c r="R50" s="29" t="n"/>
      <c r="S50" s="29" t="inlineStr">
        <is>
          <t>Cody Nichols</t>
        </is>
      </c>
      <c r="T50" s="29" t="inlineStr">
        <is>
          <t>State</t>
        </is>
      </c>
      <c r="U50" s="29" t="inlineStr">
        <is>
          <t>Public Records Request</t>
        </is>
      </c>
      <c r="X50" s="19" t="inlineStr">
        <is>
          <t>C</t>
        </is>
      </c>
      <c r="Y50" s="19" t="n">
        <v>46.6</v>
      </c>
      <c r="Z50" s="44" t="n">
        <v>0.875</v>
      </c>
      <c r="AA50" s="51" t="n">
        <v>0.6296</v>
      </c>
      <c r="AB50" s="49" t="n">
        <v>2</v>
      </c>
      <c r="AC50" s="19" t="inlineStr">
        <is>
          <t>Expansion</t>
        </is>
      </c>
      <c r="AD50" s="19" t="n">
        <v>0.8</v>
      </c>
      <c r="AE50" s="19" t="inlineStr">
        <is>
          <t>reported</t>
        </is>
      </c>
    </row>
    <row r="51" ht="15" customHeight="1" s="20">
      <c r="A51" s="29" t="inlineStr">
        <is>
          <t>Arizona Department of Corrections, Rehabilitation &amp; Reentry</t>
        </is>
      </c>
      <c r="B51" s="29" t="inlineStr">
        <is>
          <t>Arizona (HOLD FOR PARENT ACCOUNT)</t>
        </is>
      </c>
      <c r="C51" s="29" t="inlineStr">
        <is>
          <t>AZ</t>
        </is>
      </c>
      <c r="D51" s="29" t="inlineStr">
        <is>
          <t>State</t>
        </is>
      </c>
      <c r="E51" s="29" t="inlineStr">
        <is>
          <t>Cameron Chadsey</t>
        </is>
      </c>
      <c r="F51" s="29" t="inlineStr">
        <is>
          <t>Cody Nichols</t>
        </is>
      </c>
      <c r="G51" s="39" t="inlineStr">
        <is>
          <t>Cody Nichols</t>
        </is>
      </c>
      <c r="H51" s="29">
        <f>IF(F51="(not in WIP)","New to Enterprise",IF(F51=G51,"No","Yes"))</f>
        <v/>
      </c>
      <c r="I51" s="29">
        <f>IFERROR(INDEX(Lookups!$B$2:$B$14,MATCH(G51,Lookups!$A$2:$A$14,0)),"Not found")</f>
        <v/>
      </c>
      <c r="J51" s="29">
        <f>IFERROR(INDEX(Lookups!$E$2:$E$14,MATCH(G51,Lookups!$A$2:$A$14,0)),"")</f>
        <v/>
      </c>
      <c r="K51" s="39" t="inlineStr">
        <is>
          <t>MT</t>
        </is>
      </c>
      <c r="L51" s="29">
        <f>IF(J51="n/a","n/a",IFERROR(IF(ABS(INDEX(Lookups!$H$2:$H$5,MATCH(J51,Lookups!$G$2:$G$5,0))-INDEX(Lookups!$H$2:$H$5,MATCH(K51,Lookups!$G$2:$G$5,0)))&lt;=1,"Yes","No"),"Check"))</f>
        <v/>
      </c>
      <c r="M51" s="43" t="n">
        <v>78444.3</v>
      </c>
      <c r="N51" s="29" t="inlineStr">
        <is>
          <t>Yes</t>
        </is>
      </c>
      <c r="O51" s="39" t="n">
        <v>1</v>
      </c>
      <c r="P51" s="27" t="n"/>
      <c r="Q51" s="29">
        <f>IF(N51&lt;&gt;"Yes","n/a",IF(OR(AND(O51&lt;&gt;"",O51&gt;$W$1),P51="Y"),"Yes",IF(O51&lt;&gt;"","No","Pending")))</f>
        <v/>
      </c>
      <c r="R51" s="29" t="n"/>
      <c r="S51" s="29" t="inlineStr">
        <is>
          <t>Paige Wendle</t>
        </is>
      </c>
      <c r="T51" s="29" t="inlineStr">
        <is>
          <t>State</t>
        </is>
      </c>
      <c r="U51" s="29" t="inlineStr">
        <is>
          <t>Public Records Request</t>
        </is>
      </c>
      <c r="X51" s="19" t="inlineStr">
        <is>
          <t>C</t>
        </is>
      </c>
      <c r="Y51" s="19" t="n">
        <v>46.6</v>
      </c>
      <c r="Z51" s="44" t="n">
        <v>0.875</v>
      </c>
      <c r="AA51" s="51" t="n">
        <v>0.6296</v>
      </c>
      <c r="AB51" s="49" t="n">
        <v>2</v>
      </c>
      <c r="AC51" s="19" t="inlineStr">
        <is>
          <t>Expansion</t>
        </is>
      </c>
      <c r="AD51" s="19" t="n">
        <v>0.8</v>
      </c>
      <c r="AE51" s="19" t="inlineStr">
        <is>
          <t>reported</t>
        </is>
      </c>
    </row>
    <row r="52" ht="15" customHeight="1" s="20">
      <c r="A52" s="29" t="inlineStr">
        <is>
          <t>Arizona Corporation Commission</t>
        </is>
      </c>
      <c r="B52" s="29" t="inlineStr">
        <is>
          <t>Arizona (HOLD FOR PARENT ACCOUNT)</t>
        </is>
      </c>
      <c r="C52" s="29" t="inlineStr">
        <is>
          <t>AZ</t>
        </is>
      </c>
      <c r="D52" s="29" t="inlineStr">
        <is>
          <t>State</t>
        </is>
      </c>
      <c r="E52" s="29" t="inlineStr">
        <is>
          <t>Cameron Chadsey</t>
        </is>
      </c>
      <c r="F52" s="29" t="inlineStr">
        <is>
          <t>Cody Nichols</t>
        </is>
      </c>
      <c r="G52" s="39" t="inlineStr">
        <is>
          <t>Cody Nichols</t>
        </is>
      </c>
      <c r="H52" s="29">
        <f>IF(F52="(not in WIP)","New to Enterprise",IF(F52=G52,"No","Yes"))</f>
        <v/>
      </c>
      <c r="I52" s="29">
        <f>IFERROR(INDEX(Lookups!$B$2:$B$14,MATCH(G52,Lookups!$A$2:$A$14,0)),"Not found")</f>
        <v/>
      </c>
      <c r="J52" s="29">
        <f>IFERROR(INDEX(Lookups!$E$2:$E$14,MATCH(G52,Lookups!$A$2:$A$14,0)),"")</f>
        <v/>
      </c>
      <c r="K52" s="39" t="inlineStr">
        <is>
          <t>MT</t>
        </is>
      </c>
      <c r="L52" s="29">
        <f>IF(J52="n/a","n/a",IFERROR(IF(ABS(INDEX(Lookups!$H$2:$H$5,MATCH(J52,Lookups!$G$2:$G$5,0))-INDEX(Lookups!$H$2:$H$5,MATCH(K52,Lookups!$G$2:$G$5,0)))&lt;=1,"Yes","No"),"Check"))</f>
        <v/>
      </c>
      <c r="M52" s="43" t="n">
        <v>49215</v>
      </c>
      <c r="N52" s="29" t="inlineStr">
        <is>
          <t>Yes</t>
        </is>
      </c>
      <c r="O52" s="39" t="n">
        <v>1</v>
      </c>
      <c r="P52" s="27" t="n"/>
      <c r="Q52" s="29">
        <f>IF(N52&lt;&gt;"Yes","n/a",IF(OR(AND(O52&lt;&gt;"",O52&gt;$W$1),P52="Y"),"Yes",IF(O52&lt;&gt;"","No","Pending")))</f>
        <v/>
      </c>
      <c r="R52" s="29" t="n"/>
      <c r="S52" s="29" t="inlineStr">
        <is>
          <t>Kristen Murphy</t>
        </is>
      </c>
      <c r="T52" s="29" t="inlineStr">
        <is>
          <t>State</t>
        </is>
      </c>
      <c r="U52" s="29" t="inlineStr">
        <is>
          <t>Agenda &amp; Video</t>
        </is>
      </c>
      <c r="X52" s="19" t="inlineStr">
        <is>
          <t>C</t>
        </is>
      </c>
      <c r="Y52" s="19" t="n">
        <v>46.6</v>
      </c>
      <c r="Z52" s="44" t="n">
        <v>0.875</v>
      </c>
      <c r="AA52" s="51" t="n">
        <v>0.6296</v>
      </c>
      <c r="AB52" s="49" t="n">
        <v>2</v>
      </c>
      <c r="AC52" s="19" t="inlineStr">
        <is>
          <t>Expansion</t>
        </is>
      </c>
      <c r="AD52" s="19" t="n">
        <v>0.8</v>
      </c>
      <c r="AE52" s="19" t="inlineStr">
        <is>
          <t>reported</t>
        </is>
      </c>
    </row>
    <row r="53" ht="15" customHeight="1" s="20">
      <c r="A53" s="29" t="inlineStr">
        <is>
          <t>Arizona State Schools for the Deaf &amp; the Blind</t>
        </is>
      </c>
      <c r="B53" s="29" t="inlineStr">
        <is>
          <t>Arizona (HOLD FOR PARENT ACCOUNT)</t>
        </is>
      </c>
      <c r="C53" s="29" t="inlineStr">
        <is>
          <t>AZ</t>
        </is>
      </c>
      <c r="D53" s="29" t="inlineStr">
        <is>
          <t>State</t>
        </is>
      </c>
      <c r="E53" s="29" t="inlineStr">
        <is>
          <t>Cameron Chadsey</t>
        </is>
      </c>
      <c r="F53" s="29" t="inlineStr">
        <is>
          <t>Cody Nichols</t>
        </is>
      </c>
      <c r="G53" s="39" t="inlineStr">
        <is>
          <t>Cody Nichols</t>
        </is>
      </c>
      <c r="H53" s="29">
        <f>IF(F53="(not in WIP)","New to Enterprise",IF(F53=G53,"No","Yes"))</f>
        <v/>
      </c>
      <c r="I53" s="29">
        <f>IFERROR(INDEX(Lookups!$B$2:$B$14,MATCH(G53,Lookups!$A$2:$A$14,0)),"Not found")</f>
        <v/>
      </c>
      <c r="J53" s="29">
        <f>IFERROR(INDEX(Lookups!$E$2:$E$14,MATCH(G53,Lookups!$A$2:$A$14,0)),"")</f>
        <v/>
      </c>
      <c r="K53" s="39" t="inlineStr">
        <is>
          <t>MT</t>
        </is>
      </c>
      <c r="L53" s="29">
        <f>IF(J53="n/a","n/a",IFERROR(IF(ABS(INDEX(Lookups!$H$2:$H$5,MATCH(J53,Lookups!$G$2:$G$5,0))-INDEX(Lookups!$H$2:$H$5,MATCH(K53,Lookups!$G$2:$G$5,0)))&lt;=1,"Yes","No"),"Check"))</f>
        <v/>
      </c>
      <c r="M53" s="43" t="n">
        <v>22991.98</v>
      </c>
      <c r="N53" s="29" t="inlineStr">
        <is>
          <t>Yes</t>
        </is>
      </c>
      <c r="O53" s="39" t="n">
        <v>0</v>
      </c>
      <c r="P53" s="27" t="n"/>
      <c r="Q53" s="29">
        <f>IF(N53&lt;&gt;"Yes","n/a",IF(OR(AND(O53&lt;&gt;"",O53&gt;$W$1),P53="Y"),"Yes",IF(O53&lt;&gt;"","No","Pending")))</f>
        <v/>
      </c>
      <c r="R53" s="29" t="n"/>
      <c r="S53" s="29" t="inlineStr">
        <is>
          <t>Andrés Pérez</t>
        </is>
      </c>
      <c r="T53" s="29" t="inlineStr">
        <is>
          <t>State</t>
        </is>
      </c>
      <c r="U53" s="29" t="n"/>
      <c r="X53" s="19" t="inlineStr">
        <is>
          <t>C</t>
        </is>
      </c>
      <c r="Y53" s="19" t="n">
        <v>46.6</v>
      </c>
      <c r="Z53" s="44" t="n">
        <v>0.75</v>
      </c>
      <c r="AA53" s="51" t="n">
        <v>0.5796</v>
      </c>
      <c r="AB53" s="49" t="n">
        <v>2</v>
      </c>
      <c r="AC53" s="19" t="inlineStr">
        <is>
          <t>Expansion</t>
        </is>
      </c>
      <c r="AD53" s="19" t="n">
        <v>0.8</v>
      </c>
      <c r="AE53" s="19" t="inlineStr">
        <is>
          <t>imputed</t>
        </is>
      </c>
    </row>
    <row r="54" ht="15" customHeight="1" s="20">
      <c r="A54" s="29" t="inlineStr">
        <is>
          <t>Albuquerque, NM</t>
        </is>
      </c>
      <c r="B54" s="29" t="inlineStr">
        <is>
          <t>Albuquerque, NM</t>
        </is>
      </c>
      <c r="C54" s="29" t="inlineStr">
        <is>
          <t>NM</t>
        </is>
      </c>
      <c r="D54" s="29" t="inlineStr">
        <is>
          <t>Local ENT</t>
        </is>
      </c>
      <c r="E54" s="29" t="inlineStr">
        <is>
          <t>Stephen Allen</t>
        </is>
      </c>
      <c r="F54" s="29" t="inlineStr">
        <is>
          <t>Cody Nichols</t>
        </is>
      </c>
      <c r="G54" s="39" t="inlineStr">
        <is>
          <t>Cody Nichols</t>
        </is>
      </c>
      <c r="H54" s="29">
        <f>IF(F54="(not in WIP)","New to Enterprise",IF(F54=G54,"No","Yes"))</f>
        <v/>
      </c>
      <c r="I54" s="29">
        <f>IFERROR(INDEX(Lookups!$B$2:$B$14,MATCH(G54,Lookups!$A$2:$A$14,0)),"Not found")</f>
        <v/>
      </c>
      <c r="J54" s="29">
        <f>IFERROR(INDEX(Lookups!$E$2:$E$14,MATCH(G54,Lookups!$A$2:$A$14,0)),"")</f>
        <v/>
      </c>
      <c r="K54" s="39" t="inlineStr">
        <is>
          <t>MT</t>
        </is>
      </c>
      <c r="L54" s="29">
        <f>IF(J54="n/a","n/a",IFERROR(IF(ABS(INDEX(Lookups!$H$2:$H$5,MATCH(J54,Lookups!$G$2:$G$5,0))-INDEX(Lookups!$H$2:$H$5,MATCH(K54,Lookups!$G$2:$G$5,0)))&lt;=1,"Yes","No"),"Check"))</f>
        <v/>
      </c>
      <c r="M54" s="43" t="n">
        <v>90042.24000000001</v>
      </c>
      <c r="N54" s="29" t="inlineStr">
        <is>
          <t>Yes</t>
        </is>
      </c>
      <c r="O54" s="39" t="n">
        <v>1</v>
      </c>
      <c r="P54" s="27" t="n"/>
      <c r="Q54" s="29">
        <f>IF(N54&lt;&gt;"Yes","n/a",IF(OR(AND(O54&lt;&gt;"",O54&gt;$W$1),P54="Y"),"Yes",IF(O54&lt;&gt;"","No","Pending")))</f>
        <v/>
      </c>
      <c r="R54" s="29" t="n"/>
      <c r="S54" s="29" t="inlineStr">
        <is>
          <t>Kristen Murphy</t>
        </is>
      </c>
      <c r="T54" s="29" t="inlineStr">
        <is>
          <t>Local ENT</t>
        </is>
      </c>
      <c r="U54" s="29" t="inlineStr">
        <is>
          <t>Agenda &amp; Video</t>
        </is>
      </c>
      <c r="X54" s="19" t="inlineStr">
        <is>
          <t>B</t>
        </is>
      </c>
      <c r="Y54" s="19" t="n">
        <v>53.4</v>
      </c>
      <c r="Z54" s="44" t="n">
        <v>0.875</v>
      </c>
      <c r="AA54" s="51" t="n">
        <v>0.6704</v>
      </c>
      <c r="AB54" s="49" t="n">
        <v>2</v>
      </c>
      <c r="AC54" s="19" t="inlineStr">
        <is>
          <t>Expansion</t>
        </is>
      </c>
      <c r="AD54" s="19" t="n">
        <v>0.8</v>
      </c>
      <c r="AE54" s="19" t="inlineStr">
        <is>
          <t>reported</t>
        </is>
      </c>
    </row>
    <row r="55" ht="15" customHeight="1" s="20">
      <c r="A55" s="29" t="inlineStr">
        <is>
          <t>New Mexico Department of Public Safety</t>
        </is>
      </c>
      <c r="B55" s="29" t="inlineStr">
        <is>
          <t>New Mexico (HOLD FOR PARENT ACCOUNT)</t>
        </is>
      </c>
      <c r="C55" s="29" t="inlineStr">
        <is>
          <t>NM</t>
        </is>
      </c>
      <c r="D55" s="29" t="inlineStr">
        <is>
          <t>State</t>
        </is>
      </c>
      <c r="E55" s="29" t="inlineStr">
        <is>
          <t>Cameron Chadsey</t>
        </is>
      </c>
      <c r="F55" s="29" t="inlineStr">
        <is>
          <t>Cody Nichols</t>
        </is>
      </c>
      <c r="G55" s="39" t="inlineStr">
        <is>
          <t>Cody Nichols</t>
        </is>
      </c>
      <c r="H55" s="29">
        <f>IF(F55="(not in WIP)","New to Enterprise",IF(F55=G55,"No","Yes"))</f>
        <v/>
      </c>
      <c r="I55" s="29">
        <f>IFERROR(INDEX(Lookups!$B$2:$B$14,MATCH(G55,Lookups!$A$2:$A$14,0)),"Not found")</f>
        <v/>
      </c>
      <c r="J55" s="29">
        <f>IFERROR(INDEX(Lookups!$E$2:$E$14,MATCH(G55,Lookups!$A$2:$A$14,0)),"")</f>
        <v/>
      </c>
      <c r="K55" s="39" t="inlineStr">
        <is>
          <t>MT</t>
        </is>
      </c>
      <c r="L55" s="29">
        <f>IF(J55="n/a","n/a",IFERROR(IF(ABS(INDEX(Lookups!$H$2:$H$5,MATCH(J55,Lookups!$G$2:$G$5,0))-INDEX(Lookups!$H$2:$H$5,MATCH(K55,Lookups!$G$2:$G$5,0)))&lt;=1,"Yes","No"),"Check"))</f>
        <v/>
      </c>
      <c r="M55" s="43" t="n">
        <v>119725.38</v>
      </c>
      <c r="N55" s="29" t="inlineStr">
        <is>
          <t>Yes</t>
        </is>
      </c>
      <c r="O55" s="39" t="n">
        <v>1</v>
      </c>
      <c r="P55" s="27" t="n"/>
      <c r="Q55" s="29">
        <f>IF(N55&lt;&gt;"Yes","n/a",IF(OR(AND(O55&lt;&gt;"",O55&gt;$W$1),P55="Y"),"Yes",IF(O55&lt;&gt;"","No","Pending")))</f>
        <v/>
      </c>
      <c r="R55" s="29" t="n"/>
      <c r="S55" s="29" t="inlineStr">
        <is>
          <t>Colleen Moran</t>
        </is>
      </c>
      <c r="T55" s="29" t="inlineStr">
        <is>
          <t>State</t>
        </is>
      </c>
      <c r="U55" s="29" t="inlineStr">
        <is>
          <t>Public Records Request</t>
        </is>
      </c>
      <c r="X55" s="19" t="inlineStr">
        <is>
          <t>A</t>
        </is>
      </c>
      <c r="Y55" s="19" t="n">
        <v>67</v>
      </c>
      <c r="Z55" s="44" t="n">
        <v>0.875</v>
      </c>
      <c r="AA55" s="51" t="n">
        <v>0.752</v>
      </c>
      <c r="AB55" s="48" t="n">
        <v>1</v>
      </c>
      <c r="AC55" s="19" t="inlineStr">
        <is>
          <t>Growth engine</t>
        </is>
      </c>
      <c r="AD55" s="19" t="n">
        <v>1</v>
      </c>
      <c r="AE55" s="19" t="inlineStr">
        <is>
          <t>reported</t>
        </is>
      </c>
    </row>
    <row r="56" ht="15" customHeight="1" s="20">
      <c r="A56" s="29" t="inlineStr">
        <is>
          <t>New Mexico Energy, Minerals &amp; Natural Resources Department</t>
        </is>
      </c>
      <c r="B56" s="29" t="inlineStr">
        <is>
          <t>New Mexico (HOLD FOR PARENT ACCOUNT)</t>
        </is>
      </c>
      <c r="C56" s="29" t="inlineStr">
        <is>
          <t>NM</t>
        </is>
      </c>
      <c r="D56" s="29" t="inlineStr">
        <is>
          <t>State</t>
        </is>
      </c>
      <c r="E56" s="29" t="inlineStr">
        <is>
          <t>Cameron Chadsey</t>
        </is>
      </c>
      <c r="F56" s="29" t="inlineStr">
        <is>
          <t>Cody Nichols</t>
        </is>
      </c>
      <c r="G56" s="39" t="inlineStr">
        <is>
          <t>Cody Nichols</t>
        </is>
      </c>
      <c r="H56" s="29">
        <f>IF(F56="(not in WIP)","New to Enterprise",IF(F56=G56,"No","Yes"))</f>
        <v/>
      </c>
      <c r="I56" s="29">
        <f>IFERROR(INDEX(Lookups!$B$2:$B$14,MATCH(G56,Lookups!$A$2:$A$14,0)),"Not found")</f>
        <v/>
      </c>
      <c r="J56" s="29">
        <f>IFERROR(INDEX(Lookups!$E$2:$E$14,MATCH(G56,Lookups!$A$2:$A$14,0)),"")</f>
        <v/>
      </c>
      <c r="K56" s="39" t="inlineStr">
        <is>
          <t>MT</t>
        </is>
      </c>
      <c r="L56" s="29">
        <f>IF(J56="n/a","n/a",IFERROR(IF(ABS(INDEX(Lookups!$H$2:$H$5,MATCH(J56,Lookups!$G$2:$G$5,0))-INDEX(Lookups!$H$2:$H$5,MATCH(K56,Lookups!$G$2:$G$5,0)))&lt;=1,"Yes","No"),"Check"))</f>
        <v/>
      </c>
      <c r="M56" s="43" t="n">
        <v>68159.85000000001</v>
      </c>
      <c r="N56" s="29" t="inlineStr">
        <is>
          <t>Yes</t>
        </is>
      </c>
      <c r="O56" s="39" t="n">
        <v>2</v>
      </c>
      <c r="P56" s="27" t="n"/>
      <c r="Q56" s="29">
        <f>IF(N56&lt;&gt;"Yes","n/a",IF(OR(AND(O56&lt;&gt;"",O56&gt;$W$1),P56="Y"),"Yes",IF(O56&lt;&gt;"","No","Pending")))</f>
        <v/>
      </c>
      <c r="R56" s="29" t="n"/>
      <c r="S56" s="29" t="inlineStr">
        <is>
          <t>Kerrian Dailey</t>
        </is>
      </c>
      <c r="T56" s="29" t="inlineStr">
        <is>
          <t>State</t>
        </is>
      </c>
      <c r="U56" s="29" t="inlineStr">
        <is>
          <t>Other, Public Records Request</t>
        </is>
      </c>
      <c r="X56" s="19" t="inlineStr">
        <is>
          <t>A</t>
        </is>
      </c>
      <c r="Y56" s="19" t="n">
        <v>67</v>
      </c>
      <c r="Z56" s="44" t="n">
        <v>0.75</v>
      </c>
      <c r="AA56" s="51" t="n">
        <v>0.702</v>
      </c>
      <c r="AB56" s="49" t="n">
        <v>2</v>
      </c>
      <c r="AC56" s="19" t="inlineStr">
        <is>
          <t>Expansion</t>
        </is>
      </c>
      <c r="AD56" s="19" t="n">
        <v>0.8</v>
      </c>
      <c r="AE56" s="19" t="inlineStr">
        <is>
          <t>reported</t>
        </is>
      </c>
    </row>
    <row r="57" ht="15" customHeight="1" s="20">
      <c r="A57" s="29" t="inlineStr">
        <is>
          <t>New Mexico Regulation &amp; Licensing Department</t>
        </is>
      </c>
      <c r="B57" s="29" t="inlineStr">
        <is>
          <t>New Mexico (HOLD FOR PARENT ACCOUNT)</t>
        </is>
      </c>
      <c r="C57" s="29" t="inlineStr">
        <is>
          <t>NM</t>
        </is>
      </c>
      <c r="D57" s="29" t="inlineStr">
        <is>
          <t>State</t>
        </is>
      </c>
      <c r="E57" s="29" t="inlineStr">
        <is>
          <t>Cameron Chadsey</t>
        </is>
      </c>
      <c r="F57" s="29" t="inlineStr">
        <is>
          <t>Cody Nichols</t>
        </is>
      </c>
      <c r="G57" s="39" t="inlineStr">
        <is>
          <t>Cody Nichols</t>
        </is>
      </c>
      <c r="H57" s="29">
        <f>IF(F57="(not in WIP)","New to Enterprise",IF(F57=G57,"No","Yes"))</f>
        <v/>
      </c>
      <c r="I57" s="29">
        <f>IFERROR(INDEX(Lookups!$B$2:$B$14,MATCH(G57,Lookups!$A$2:$A$14,0)),"Not found")</f>
        <v/>
      </c>
      <c r="J57" s="29">
        <f>IFERROR(INDEX(Lookups!$E$2:$E$14,MATCH(G57,Lookups!$A$2:$A$14,0)),"")</f>
        <v/>
      </c>
      <c r="K57" s="39" t="inlineStr">
        <is>
          <t>MT</t>
        </is>
      </c>
      <c r="L57" s="29">
        <f>IF(J57="n/a","n/a",IFERROR(IF(ABS(INDEX(Lookups!$H$2:$H$5,MATCH(J57,Lookups!$G$2:$G$5,0))-INDEX(Lookups!$H$2:$H$5,MATCH(K57,Lookups!$G$2:$G$5,0)))&lt;=1,"Yes","No"),"Check"))</f>
        <v/>
      </c>
      <c r="M57" s="43" t="n">
        <v>47966.91</v>
      </c>
      <c r="N57" s="29" t="inlineStr">
        <is>
          <t>Yes</t>
        </is>
      </c>
      <c r="O57" s="39" t="n">
        <v>3</v>
      </c>
      <c r="P57" s="27" t="n"/>
      <c r="Q57" s="29">
        <f>IF(N57&lt;&gt;"Yes","n/a",IF(OR(AND(O57&lt;&gt;"",O57&gt;$W$1),P57="Y"),"Yes",IF(O57&lt;&gt;"","No","Pending")))</f>
        <v/>
      </c>
      <c r="R57" s="29" t="n"/>
      <c r="S57" s="29" t="inlineStr">
        <is>
          <t>Colleen Moran</t>
        </is>
      </c>
      <c r="T57" s="29" t="inlineStr">
        <is>
          <t>State</t>
        </is>
      </c>
      <c r="U57" s="29" t="inlineStr">
        <is>
          <t>Email &amp; SMS, Engagement &amp; Sentiment, Recurring Services</t>
        </is>
      </c>
      <c r="X57" s="19" t="inlineStr">
        <is>
          <t>A</t>
        </is>
      </c>
      <c r="Y57" s="19" t="n">
        <v>67</v>
      </c>
      <c r="Z57" s="44" t="n">
        <v>0.625</v>
      </c>
      <c r="AA57" s="51" t="n">
        <v>0.652</v>
      </c>
      <c r="AB57" s="49" t="n">
        <v>2</v>
      </c>
      <c r="AC57" s="19" t="inlineStr">
        <is>
          <t>Expansion</t>
        </is>
      </c>
      <c r="AD57" s="19" t="n">
        <v>0.8</v>
      </c>
      <c r="AE57" s="19" t="inlineStr">
        <is>
          <t>reported</t>
        </is>
      </c>
    </row>
    <row r="58" ht="15" customHeight="1" s="20">
      <c r="A58" s="29" t="inlineStr">
        <is>
          <t>New Mexico Environment Department</t>
        </is>
      </c>
      <c r="B58" s="29" t="inlineStr">
        <is>
          <t>New Mexico (HOLD FOR PARENT ACCOUNT)</t>
        </is>
      </c>
      <c r="C58" s="29" t="inlineStr">
        <is>
          <t>NM</t>
        </is>
      </c>
      <c r="D58" s="29" t="inlineStr">
        <is>
          <t>State</t>
        </is>
      </c>
      <c r="E58" s="29" t="inlineStr">
        <is>
          <t>Cameron Chadsey</t>
        </is>
      </c>
      <c r="F58" s="29" t="inlineStr">
        <is>
          <t>Cody Nichols</t>
        </is>
      </c>
      <c r="G58" s="39" t="inlineStr">
        <is>
          <t>Cody Nichols</t>
        </is>
      </c>
      <c r="H58" s="29">
        <f>IF(F58="(not in WIP)","New to Enterprise",IF(F58=G58,"No","Yes"))</f>
        <v/>
      </c>
      <c r="I58" s="29">
        <f>IFERROR(INDEX(Lookups!$B$2:$B$14,MATCH(G58,Lookups!$A$2:$A$14,0)),"Not found")</f>
        <v/>
      </c>
      <c r="J58" s="29">
        <f>IFERROR(INDEX(Lookups!$E$2:$E$14,MATCH(G58,Lookups!$A$2:$A$14,0)),"")</f>
        <v/>
      </c>
      <c r="K58" s="39" t="inlineStr">
        <is>
          <t>MT</t>
        </is>
      </c>
      <c r="L58" s="29">
        <f>IF(J58="n/a","n/a",IFERROR(IF(ABS(INDEX(Lookups!$H$2:$H$5,MATCH(J58,Lookups!$G$2:$G$5,0))-INDEX(Lookups!$H$2:$H$5,MATCH(K58,Lookups!$G$2:$G$5,0)))&lt;=1,"Yes","No"),"Check"))</f>
        <v/>
      </c>
      <c r="M58" s="43" t="n">
        <v>45471.89</v>
      </c>
      <c r="N58" s="29" t="inlineStr">
        <is>
          <t>Yes</t>
        </is>
      </c>
      <c r="O58" s="39" t="n">
        <v>3</v>
      </c>
      <c r="P58" s="27" t="n"/>
      <c r="Q58" s="29">
        <f>IF(N58&lt;&gt;"Yes","n/a",IF(OR(AND(O58&lt;&gt;"",O58&gt;$W$1),P58="Y"),"Yes",IF(O58&lt;&gt;"","No","Pending")))</f>
        <v/>
      </c>
      <c r="R58" s="29" t="n"/>
      <c r="S58" s="29" t="inlineStr">
        <is>
          <t>Carlos Torres</t>
        </is>
      </c>
      <c r="T58" s="29" t="inlineStr">
        <is>
          <t>State</t>
        </is>
      </c>
      <c r="U58" s="29" t="inlineStr">
        <is>
          <t>Email &amp; SMS, Engagement &amp; Sentiment, Recurring Services</t>
        </is>
      </c>
      <c r="X58" s="19" t="inlineStr">
        <is>
          <t>A</t>
        </is>
      </c>
      <c r="Y58" s="19" t="n">
        <v>67</v>
      </c>
      <c r="Z58" s="44" t="n">
        <v>0.625</v>
      </c>
      <c r="AA58" s="51" t="n">
        <v>0.652</v>
      </c>
      <c r="AB58" s="49" t="n">
        <v>2</v>
      </c>
      <c r="AC58" s="19" t="inlineStr">
        <is>
          <t>Expansion</t>
        </is>
      </c>
      <c r="AD58" s="19" t="n">
        <v>0.8</v>
      </c>
      <c r="AE58" s="19" t="inlineStr">
        <is>
          <t>reported</t>
        </is>
      </c>
    </row>
    <row r="59" ht="15" customHeight="1" s="20">
      <c r="A59" s="29" t="inlineStr">
        <is>
          <t>New Mexico Early Childhood Education &amp; Care Department</t>
        </is>
      </c>
      <c r="B59" s="29" t="inlineStr">
        <is>
          <t>New Mexico Early Childhood Education &amp; Care Department</t>
        </is>
      </c>
      <c r="C59" s="29" t="inlineStr">
        <is>
          <t>NM</t>
        </is>
      </c>
      <c r="D59" s="29" t="inlineStr">
        <is>
          <t>State</t>
        </is>
      </c>
      <c r="E59" s="29" t="inlineStr">
        <is>
          <t>Cameron Chadsey</t>
        </is>
      </c>
      <c r="F59" s="29" t="inlineStr">
        <is>
          <t>Cody Nichols</t>
        </is>
      </c>
      <c r="G59" s="39" t="inlineStr">
        <is>
          <t>Cody Nichols</t>
        </is>
      </c>
      <c r="H59" s="29">
        <f>IF(F59="(not in WIP)","New to Enterprise",IF(F59=G59,"No","Yes"))</f>
        <v/>
      </c>
      <c r="I59" s="29">
        <f>IFERROR(INDEX(Lookups!$B$2:$B$14,MATCH(G59,Lookups!$A$2:$A$14,0)),"Not found")</f>
        <v/>
      </c>
      <c r="J59" s="29">
        <f>IFERROR(INDEX(Lookups!$E$2:$E$14,MATCH(G59,Lookups!$A$2:$A$14,0)),"")</f>
        <v/>
      </c>
      <c r="K59" s="39" t="inlineStr">
        <is>
          <t>MT</t>
        </is>
      </c>
      <c r="L59" s="29">
        <f>IF(J59="n/a","n/a",IFERROR(IF(ABS(INDEX(Lookups!$H$2:$H$5,MATCH(J59,Lookups!$G$2:$G$5,0))-INDEX(Lookups!$H$2:$H$5,MATCH(K59,Lookups!$G$2:$G$5,0)))&lt;=1,"Yes","No"),"Check"))</f>
        <v/>
      </c>
      <c r="M59" s="43" t="n">
        <v>42743.1</v>
      </c>
      <c r="N59" s="29" t="inlineStr">
        <is>
          <t>Yes</t>
        </is>
      </c>
      <c r="O59" s="39" t="n">
        <v>1</v>
      </c>
      <c r="P59" s="27" t="n"/>
      <c r="Q59" s="29">
        <f>IF(N59&lt;&gt;"Yes","n/a",IF(OR(AND(O59&lt;&gt;"",O59&gt;$W$1),P59="Y"),"Yes",IF(O59&lt;&gt;"","No","Pending")))</f>
        <v/>
      </c>
      <c r="R59" s="29" t="n"/>
      <c r="S59" s="29" t="inlineStr">
        <is>
          <t>Kerrian Dailey</t>
        </is>
      </c>
      <c r="T59" s="29" t="inlineStr">
        <is>
          <t>State</t>
        </is>
      </c>
      <c r="U59" s="29" t="inlineStr">
        <is>
          <t>Public Records Request</t>
        </is>
      </c>
      <c r="X59" s="19" t="inlineStr">
        <is>
          <t>A</t>
        </is>
      </c>
      <c r="Y59" s="19" t="n">
        <v>67</v>
      </c>
      <c r="Z59" s="44" t="n">
        <v>0.875</v>
      </c>
      <c r="AA59" s="51" t="n">
        <v>0.752</v>
      </c>
      <c r="AB59" s="49" t="n">
        <v>2</v>
      </c>
      <c r="AC59" s="19" t="inlineStr">
        <is>
          <t>Expansion</t>
        </is>
      </c>
      <c r="AD59" s="19" t="n">
        <v>0.8</v>
      </c>
      <c r="AE59" s="19" t="inlineStr">
        <is>
          <t>reported</t>
        </is>
      </c>
    </row>
    <row r="60" ht="15" customHeight="1" s="20">
      <c r="A60" s="29" t="inlineStr">
        <is>
          <t>New Mexico Health Care Authority</t>
        </is>
      </c>
      <c r="B60" s="29" t="inlineStr">
        <is>
          <t>New Mexico (HOLD FOR PARENT ACCOUNT)</t>
        </is>
      </c>
      <c r="C60" s="29" t="inlineStr">
        <is>
          <t>NM</t>
        </is>
      </c>
      <c r="D60" s="29" t="inlineStr">
        <is>
          <t>State</t>
        </is>
      </c>
      <c r="E60" s="29" t="inlineStr">
        <is>
          <t>Cameron Chadsey</t>
        </is>
      </c>
      <c r="F60" s="29" t="inlineStr">
        <is>
          <t>Cody Nichols</t>
        </is>
      </c>
      <c r="G60" s="39" t="inlineStr">
        <is>
          <t>Cody Nichols</t>
        </is>
      </c>
      <c r="H60" s="29">
        <f>IF(F60="(not in WIP)","New to Enterprise",IF(F60=G60,"No","Yes"))</f>
        <v/>
      </c>
      <c r="I60" s="29">
        <f>IFERROR(INDEX(Lookups!$B$2:$B$14,MATCH(G60,Lookups!$A$2:$A$14,0)),"Not found")</f>
        <v/>
      </c>
      <c r="J60" s="29">
        <f>IFERROR(INDEX(Lookups!$E$2:$E$14,MATCH(G60,Lookups!$A$2:$A$14,0)),"")</f>
        <v/>
      </c>
      <c r="K60" s="39" t="inlineStr">
        <is>
          <t>MT</t>
        </is>
      </c>
      <c r="L60" s="29">
        <f>IF(J60="n/a","n/a",IFERROR(IF(ABS(INDEX(Lookups!$H$2:$H$5,MATCH(J60,Lookups!$G$2:$G$5,0))-INDEX(Lookups!$H$2:$H$5,MATCH(K60,Lookups!$G$2:$G$5,0)))&lt;=1,"Yes","No"),"Check"))</f>
        <v/>
      </c>
      <c r="M60" s="43" t="n">
        <v>36674.93</v>
      </c>
      <c r="N60" s="29" t="inlineStr">
        <is>
          <t>Yes</t>
        </is>
      </c>
      <c r="O60" s="39" t="n">
        <v>1</v>
      </c>
      <c r="P60" s="27" t="n"/>
      <c r="Q60" s="29">
        <f>IF(N60&lt;&gt;"Yes","n/a",IF(OR(AND(O60&lt;&gt;"",O60&gt;$W$1),P60="Y"),"Yes",IF(O60&lt;&gt;"","No","Pending")))</f>
        <v/>
      </c>
      <c r="R60" s="29" t="n"/>
      <c r="S60" s="29" t="inlineStr">
        <is>
          <t>Steffany Amador</t>
        </is>
      </c>
      <c r="T60" s="29" t="inlineStr">
        <is>
          <t>State</t>
        </is>
      </c>
      <c r="U60" s="29" t="inlineStr">
        <is>
          <t>Public Records Request</t>
        </is>
      </c>
      <c r="X60" s="19" t="inlineStr">
        <is>
          <t>A</t>
        </is>
      </c>
      <c r="Y60" s="19" t="n">
        <v>67</v>
      </c>
      <c r="Z60" s="44" t="n">
        <v>0.875</v>
      </c>
      <c r="AA60" s="51" t="n">
        <v>0.752</v>
      </c>
      <c r="AB60" s="49" t="n">
        <v>2</v>
      </c>
      <c r="AC60" s="19" t="inlineStr">
        <is>
          <t>Expansion</t>
        </is>
      </c>
      <c r="AD60" s="19" t="n">
        <v>0.8</v>
      </c>
      <c r="AE60" s="19" t="inlineStr">
        <is>
          <t>reported</t>
        </is>
      </c>
    </row>
    <row r="61" ht="15" customHeight="1" s="20">
      <c r="A61" s="29" t="inlineStr">
        <is>
          <t>New Mexico Department of Justice</t>
        </is>
      </c>
      <c r="B61" s="29" t="inlineStr">
        <is>
          <t>New Mexico (HOLD FOR PARENT ACCOUNT)</t>
        </is>
      </c>
      <c r="C61" s="29" t="inlineStr">
        <is>
          <t>NM</t>
        </is>
      </c>
      <c r="D61" s="29" t="inlineStr">
        <is>
          <t>State</t>
        </is>
      </c>
      <c r="E61" s="29" t="inlineStr">
        <is>
          <t>Cameron Chadsey</t>
        </is>
      </c>
      <c r="F61" s="29" t="inlineStr">
        <is>
          <t>Cody Nichols</t>
        </is>
      </c>
      <c r="G61" s="39" t="inlineStr">
        <is>
          <t>Cody Nichols</t>
        </is>
      </c>
      <c r="H61" s="29">
        <f>IF(F61="(not in WIP)","New to Enterprise",IF(F61=G61,"No","Yes"))</f>
        <v/>
      </c>
      <c r="I61" s="29">
        <f>IFERROR(INDEX(Lookups!$B$2:$B$14,MATCH(G61,Lookups!$A$2:$A$14,0)),"Not found")</f>
        <v/>
      </c>
      <c r="J61" s="29">
        <f>IFERROR(INDEX(Lookups!$E$2:$E$14,MATCH(G61,Lookups!$A$2:$A$14,0)),"")</f>
        <v/>
      </c>
      <c r="K61" s="39" t="inlineStr">
        <is>
          <t>MT</t>
        </is>
      </c>
      <c r="L61" s="29">
        <f>IF(J61="n/a","n/a",IFERROR(IF(ABS(INDEX(Lookups!$H$2:$H$5,MATCH(J61,Lookups!$G$2:$G$5,0))-INDEX(Lookups!$H$2:$H$5,MATCH(K61,Lookups!$G$2:$G$5,0)))&lt;=1,"Yes","No"),"Check"))</f>
        <v/>
      </c>
      <c r="M61" s="43" t="n">
        <v>22951.04</v>
      </c>
      <c r="N61" s="29" t="inlineStr">
        <is>
          <t>Yes</t>
        </is>
      </c>
      <c r="O61" s="39" t="n">
        <v>3</v>
      </c>
      <c r="P61" s="27" t="n"/>
      <c r="Q61" s="29">
        <f>IF(N61&lt;&gt;"Yes","n/a",IF(OR(AND(O61&lt;&gt;"",O61&gt;$W$1),P61="Y"),"Yes",IF(O61&lt;&gt;"","No","Pending")))</f>
        <v/>
      </c>
      <c r="R61" s="29" t="n"/>
      <c r="S61" s="29" t="inlineStr">
        <is>
          <t>Paige Wendle</t>
        </is>
      </c>
      <c r="T61" s="29" t="inlineStr">
        <is>
          <t>State</t>
        </is>
      </c>
      <c r="U61" s="29" t="inlineStr">
        <is>
          <t>Email &amp; SMS, Engagement &amp; Sentiment, Recurring Services</t>
        </is>
      </c>
      <c r="X61" s="19" t="inlineStr">
        <is>
          <t>A</t>
        </is>
      </c>
      <c r="Y61" s="19" t="n">
        <v>67</v>
      </c>
      <c r="Z61" s="44" t="n">
        <v>0.625</v>
      </c>
      <c r="AA61" s="51" t="n">
        <v>0.652</v>
      </c>
      <c r="AB61" s="49" t="n">
        <v>2</v>
      </c>
      <c r="AC61" s="19" t="inlineStr">
        <is>
          <t>Expansion</t>
        </is>
      </c>
      <c r="AD61" s="19" t="n">
        <v>0.8</v>
      </c>
      <c r="AE61" s="19" t="inlineStr">
        <is>
          <t>reported</t>
        </is>
      </c>
    </row>
    <row r="62" ht="15" customHeight="1" s="20">
      <c r="A62" s="29" t="inlineStr">
        <is>
          <t>Colorado Department of Regulatory Agencies</t>
        </is>
      </c>
      <c r="B62" s="29" t="inlineStr">
        <is>
          <t>Colorado</t>
        </is>
      </c>
      <c r="C62" s="29" t="inlineStr">
        <is>
          <t>CO</t>
        </is>
      </c>
      <c r="D62" s="29" t="inlineStr">
        <is>
          <t>State</t>
        </is>
      </c>
      <c r="E62" s="29" t="inlineStr">
        <is>
          <t>Che Bustos</t>
        </is>
      </c>
      <c r="F62" s="29" t="inlineStr">
        <is>
          <t>Alejandro Solano</t>
        </is>
      </c>
      <c r="G62" s="39" t="inlineStr">
        <is>
          <t>Alejandro Solano</t>
        </is>
      </c>
      <c r="H62" s="29">
        <f>IF(F62="(not in WIP)","New to Enterprise",IF(F62=G62,"No","Yes"))</f>
        <v/>
      </c>
      <c r="I62" s="29">
        <f>IFERROR(INDEX(Lookups!$B$2:$B$14,MATCH(G62,Lookups!$A$2:$A$14,0)),"Not found")</f>
        <v/>
      </c>
      <c r="J62" s="29">
        <f>IFERROR(INDEX(Lookups!$E$2:$E$14,MATCH(G62,Lookups!$A$2:$A$14,0)),"")</f>
        <v/>
      </c>
      <c r="K62" s="39" t="inlineStr">
        <is>
          <t>MT</t>
        </is>
      </c>
      <c r="L62" s="29">
        <f>IF(J62="n/a","n/a",IFERROR(IF(ABS(INDEX(Lookups!$H$2:$H$5,MATCH(J62,Lookups!$G$2:$G$5,0))-INDEX(Lookups!$H$2:$H$5,MATCH(K62,Lookups!$G$2:$G$5,0)))&lt;=1,"Yes","No"),"Check"))</f>
        <v/>
      </c>
      <c r="M62" s="43" t="n">
        <v>114064.65</v>
      </c>
      <c r="N62" s="29" t="inlineStr">
        <is>
          <t>Yes</t>
        </is>
      </c>
      <c r="O62" s="39" t="n">
        <v>3</v>
      </c>
      <c r="P62" s="27" t="n"/>
      <c r="Q62" s="29">
        <f>IF(N62&lt;&gt;"Yes","n/a",IF(OR(AND(O62&lt;&gt;"",O62&gt;$W$1),P62="Y"),"Yes",IF(O62&lt;&gt;"","No","Pending")))</f>
        <v/>
      </c>
      <c r="R62" s="29" t="n"/>
      <c r="S62" s="29" t="inlineStr">
        <is>
          <t>Kerrian Dailey</t>
        </is>
      </c>
      <c r="T62" s="29" t="inlineStr">
        <is>
          <t>State</t>
        </is>
      </c>
      <c r="U62" s="29" t="inlineStr">
        <is>
          <t>Email &amp; SMS, Engagement &amp; Sentiment, Recurring Services</t>
        </is>
      </c>
      <c r="X62" s="19" t="inlineStr">
        <is>
          <t>C</t>
        </is>
      </c>
      <c r="Y62" s="19" t="n">
        <v>42.5</v>
      </c>
      <c r="Z62" s="44" t="n">
        <v>0.625</v>
      </c>
      <c r="AA62" s="51" t="n">
        <v>0.505</v>
      </c>
      <c r="AB62" s="46" t="n">
        <v>3</v>
      </c>
      <c r="AC62" s="19" t="inlineStr">
        <is>
          <t>Defend</t>
        </is>
      </c>
      <c r="AD62" s="19" t="n">
        <v>0.5</v>
      </c>
      <c r="AE62" s="19" t="inlineStr">
        <is>
          <t>reported</t>
        </is>
      </c>
    </row>
    <row r="63" ht="15" customHeight="1" s="20">
      <c r="A63" s="29" t="inlineStr">
        <is>
          <t>Colorado Department of Natural Resources</t>
        </is>
      </c>
      <c r="B63" s="29" t="inlineStr">
        <is>
          <t>Colorado</t>
        </is>
      </c>
      <c r="C63" s="29" t="inlineStr">
        <is>
          <t>CO</t>
        </is>
      </c>
      <c r="D63" s="29" t="inlineStr">
        <is>
          <t>State</t>
        </is>
      </c>
      <c r="E63" s="29" t="inlineStr">
        <is>
          <t>Che Bustos</t>
        </is>
      </c>
      <c r="F63" s="29" t="inlineStr">
        <is>
          <t>Alejandro Solano</t>
        </is>
      </c>
      <c r="G63" s="39" t="inlineStr">
        <is>
          <t>Alejandro Solano</t>
        </is>
      </c>
      <c r="H63" s="29">
        <f>IF(F63="(not in WIP)","New to Enterprise",IF(F63=G63,"No","Yes"))</f>
        <v/>
      </c>
      <c r="I63" s="29">
        <f>IFERROR(INDEX(Lookups!$B$2:$B$14,MATCH(G63,Lookups!$A$2:$A$14,0)),"Not found")</f>
        <v/>
      </c>
      <c r="J63" s="29">
        <f>IFERROR(INDEX(Lookups!$E$2:$E$14,MATCH(G63,Lookups!$A$2:$A$14,0)),"")</f>
        <v/>
      </c>
      <c r="K63" s="39" t="inlineStr">
        <is>
          <t>MT</t>
        </is>
      </c>
      <c r="L63" s="29">
        <f>IF(J63="n/a","n/a",IFERROR(IF(ABS(INDEX(Lookups!$H$2:$H$5,MATCH(J63,Lookups!$G$2:$G$5,0))-INDEX(Lookups!$H$2:$H$5,MATCH(K63,Lookups!$G$2:$G$5,0)))&lt;=1,"Yes","No"),"Check"))</f>
        <v/>
      </c>
      <c r="M63" s="43" t="n">
        <v>86432.00999999999</v>
      </c>
      <c r="N63" s="29" t="inlineStr">
        <is>
          <t>Yes</t>
        </is>
      </c>
      <c r="O63" s="39" t="n">
        <v>2</v>
      </c>
      <c r="P63" s="27" t="n"/>
      <c r="Q63" s="29">
        <f>IF(N63&lt;&gt;"Yes","n/a",IF(OR(AND(O63&lt;&gt;"",O63&gt;$W$1),P63="Y"),"Yes",IF(O63&lt;&gt;"","No","Pending")))</f>
        <v/>
      </c>
      <c r="R63" s="29" t="n"/>
      <c r="S63" s="29" t="inlineStr">
        <is>
          <t>Savannah Lane</t>
        </is>
      </c>
      <c r="T63" s="29" t="inlineStr">
        <is>
          <t>State</t>
        </is>
      </c>
      <c r="U63" s="29" t="inlineStr">
        <is>
          <t>Email &amp; SMS, Engagement &amp; Sentiment</t>
        </is>
      </c>
      <c r="X63" s="19" t="inlineStr">
        <is>
          <t>C</t>
        </is>
      </c>
      <c r="Y63" s="19" t="n">
        <v>42.5</v>
      </c>
      <c r="Z63" s="44" t="n">
        <v>0.75</v>
      </c>
      <c r="AA63" s="51" t="n">
        <v>0.555</v>
      </c>
      <c r="AB63" s="47" t="n">
        <v>4</v>
      </c>
      <c r="AC63" s="19" t="inlineStr">
        <is>
          <t>Maintain</t>
        </is>
      </c>
      <c r="AD63" s="19" t="n">
        <v>0.3</v>
      </c>
      <c r="AE63" s="19" t="inlineStr">
        <is>
          <t>reported</t>
        </is>
      </c>
    </row>
    <row r="64" ht="15" customHeight="1" s="20">
      <c r="A64" s="29" t="inlineStr">
        <is>
          <t>Colorado Department of Labor and Employment</t>
        </is>
      </c>
      <c r="B64" s="29" t="inlineStr">
        <is>
          <t>Colorado</t>
        </is>
      </c>
      <c r="C64" s="29" t="inlineStr">
        <is>
          <t>CO</t>
        </is>
      </c>
      <c r="D64" s="29" t="inlineStr">
        <is>
          <t>State</t>
        </is>
      </c>
      <c r="E64" s="29" t="inlineStr">
        <is>
          <t>Che Bustos</t>
        </is>
      </c>
      <c r="F64" s="29" t="inlineStr">
        <is>
          <t>Alejandro Solano</t>
        </is>
      </c>
      <c r="G64" s="39" t="inlineStr">
        <is>
          <t>Alejandro Solano</t>
        </is>
      </c>
      <c r="H64" s="29">
        <f>IF(F64="(not in WIP)","New to Enterprise",IF(F64=G64,"No","Yes"))</f>
        <v/>
      </c>
      <c r="I64" s="29">
        <f>IFERROR(INDEX(Lookups!$B$2:$B$14,MATCH(G64,Lookups!$A$2:$A$14,0)),"Not found")</f>
        <v/>
      </c>
      <c r="J64" s="29">
        <f>IFERROR(INDEX(Lookups!$E$2:$E$14,MATCH(G64,Lookups!$A$2:$A$14,0)),"")</f>
        <v/>
      </c>
      <c r="K64" s="39" t="inlineStr">
        <is>
          <t>MT</t>
        </is>
      </c>
      <c r="L64" s="29">
        <f>IF(J64="n/a","n/a",IFERROR(IF(ABS(INDEX(Lookups!$H$2:$H$5,MATCH(J64,Lookups!$G$2:$G$5,0))-INDEX(Lookups!$H$2:$H$5,MATCH(K64,Lookups!$G$2:$G$5,0)))&lt;=1,"Yes","No"),"Check"))</f>
        <v/>
      </c>
      <c r="M64" s="43" t="n">
        <v>56832.3</v>
      </c>
      <c r="N64" s="29" t="inlineStr">
        <is>
          <t>Yes</t>
        </is>
      </c>
      <c r="O64" s="39" t="n">
        <v>3</v>
      </c>
      <c r="P64" s="27" t="n"/>
      <c r="Q64" s="29">
        <f>IF(N64&lt;&gt;"Yes","n/a",IF(OR(AND(O64&lt;&gt;"",O64&gt;$W$1),P64="Y"),"Yes",IF(O64&lt;&gt;"","No","Pending")))</f>
        <v/>
      </c>
      <c r="R64" s="29" t="n"/>
      <c r="S64" s="29" t="inlineStr">
        <is>
          <t>Colleen Moran</t>
        </is>
      </c>
      <c r="T64" s="29" t="inlineStr">
        <is>
          <t>State</t>
        </is>
      </c>
      <c r="U64" s="29" t="inlineStr">
        <is>
          <t>Email &amp; SMS, Engagement &amp; Sentiment, Recurring Services</t>
        </is>
      </c>
      <c r="X64" s="19" t="inlineStr">
        <is>
          <t>C</t>
        </is>
      </c>
      <c r="Y64" s="19" t="n">
        <v>42.5</v>
      </c>
      <c r="Z64" s="44" t="n">
        <v>0.625</v>
      </c>
      <c r="AA64" s="51" t="n">
        <v>0.505</v>
      </c>
      <c r="AB64" s="47" t="n">
        <v>4</v>
      </c>
      <c r="AC64" s="19" t="inlineStr">
        <is>
          <t>Maintain</t>
        </is>
      </c>
      <c r="AD64" s="19" t="n">
        <v>0.3</v>
      </c>
      <c r="AE64" s="19" t="inlineStr">
        <is>
          <t>reported</t>
        </is>
      </c>
    </row>
    <row r="65" ht="15" customHeight="1" s="20">
      <c r="A65" s="29" t="inlineStr">
        <is>
          <t>Colorado Department of Corrections</t>
        </is>
      </c>
      <c r="B65" s="29" t="inlineStr">
        <is>
          <t>Colorado</t>
        </is>
      </c>
      <c r="C65" s="29" t="inlineStr">
        <is>
          <t>CO</t>
        </is>
      </c>
      <c r="D65" s="29" t="inlineStr">
        <is>
          <t>State</t>
        </is>
      </c>
      <c r="E65" s="29" t="inlineStr">
        <is>
          <t>Che Bustos</t>
        </is>
      </c>
      <c r="F65" s="29" t="inlineStr">
        <is>
          <t>Alejandro Solano</t>
        </is>
      </c>
      <c r="G65" s="39" t="inlineStr">
        <is>
          <t>Alejandro Solano</t>
        </is>
      </c>
      <c r="H65" s="29">
        <f>IF(F65="(not in WIP)","New to Enterprise",IF(F65=G65,"No","Yes"))</f>
        <v/>
      </c>
      <c r="I65" s="29">
        <f>IFERROR(INDEX(Lookups!$B$2:$B$14,MATCH(G65,Lookups!$A$2:$A$14,0)),"Not found")</f>
        <v/>
      </c>
      <c r="J65" s="29">
        <f>IFERROR(INDEX(Lookups!$E$2:$E$14,MATCH(G65,Lookups!$A$2:$A$14,0)),"")</f>
        <v/>
      </c>
      <c r="K65" s="39" t="inlineStr">
        <is>
          <t>MT</t>
        </is>
      </c>
      <c r="L65" s="29">
        <f>IF(J65="n/a","n/a",IFERROR(IF(ABS(INDEX(Lookups!$H$2:$H$5,MATCH(J65,Lookups!$G$2:$G$5,0))-INDEX(Lookups!$H$2:$H$5,MATCH(K65,Lookups!$G$2:$G$5,0)))&lt;=1,"Yes","No"),"Check"))</f>
        <v/>
      </c>
      <c r="M65" s="43" t="n">
        <v>50310.23</v>
      </c>
      <c r="N65" s="29" t="inlineStr">
        <is>
          <t>Yes</t>
        </is>
      </c>
      <c r="O65" s="39" t="n">
        <v>3</v>
      </c>
      <c r="P65" s="27" t="n"/>
      <c r="Q65" s="29">
        <f>IF(N65&lt;&gt;"Yes","n/a",IF(OR(AND(O65&lt;&gt;"",O65&gt;$W$1),P65="Y"),"Yes",IF(O65&lt;&gt;"","No","Pending")))</f>
        <v/>
      </c>
      <c r="R65" s="29" t="n"/>
      <c r="S65" s="29" t="inlineStr">
        <is>
          <t>Colleen Moran</t>
        </is>
      </c>
      <c r="T65" s="29" t="inlineStr">
        <is>
          <t>State</t>
        </is>
      </c>
      <c r="U65" s="29" t="inlineStr">
        <is>
          <t>Email &amp; SMS, Engagement &amp; Sentiment, Recurring Services</t>
        </is>
      </c>
      <c r="X65" s="19" t="inlineStr">
        <is>
          <t>C</t>
        </is>
      </c>
      <c r="Y65" s="19" t="n">
        <v>42.5</v>
      </c>
      <c r="Z65" s="44" t="n">
        <v>0.625</v>
      </c>
      <c r="AA65" s="51" t="n">
        <v>0.505</v>
      </c>
      <c r="AB65" s="47" t="n">
        <v>4</v>
      </c>
      <c r="AC65" s="19" t="inlineStr">
        <is>
          <t>Maintain</t>
        </is>
      </c>
      <c r="AD65" s="19" t="n">
        <v>0.3</v>
      </c>
      <c r="AE65" s="19" t="inlineStr">
        <is>
          <t>reported</t>
        </is>
      </c>
    </row>
    <row r="66" ht="15" customHeight="1" s="20">
      <c r="A66" s="29" t="inlineStr">
        <is>
          <t>Kansas Department for Children &amp; Families</t>
        </is>
      </c>
      <c r="B66" s="29" t="inlineStr">
        <is>
          <t>Kansas</t>
        </is>
      </c>
      <c r="C66" s="29" t="inlineStr">
        <is>
          <t>KS</t>
        </is>
      </c>
      <c r="D66" s="29" t="inlineStr">
        <is>
          <t>State</t>
        </is>
      </c>
      <c r="E66" s="29" t="inlineStr">
        <is>
          <t>Matt Russell</t>
        </is>
      </c>
      <c r="F66" s="29" t="inlineStr">
        <is>
          <t>Alejandro Solano</t>
        </is>
      </c>
      <c r="G66" s="39" t="inlineStr">
        <is>
          <t>Alejandro Solano</t>
        </is>
      </c>
      <c r="H66" s="29">
        <f>IF(F66="(not in WIP)","New to Enterprise",IF(F66=G66,"No","Yes"))</f>
        <v/>
      </c>
      <c r="I66" s="29">
        <f>IFERROR(INDEX(Lookups!$B$2:$B$14,MATCH(G66,Lookups!$A$2:$A$14,0)),"Not found")</f>
        <v/>
      </c>
      <c r="J66" s="29">
        <f>IFERROR(INDEX(Lookups!$E$2:$E$14,MATCH(G66,Lookups!$A$2:$A$14,0)),"")</f>
        <v/>
      </c>
      <c r="K66" s="39" t="inlineStr">
        <is>
          <t>CT</t>
        </is>
      </c>
      <c r="L66" s="29">
        <f>IF(J66="n/a","n/a",IFERROR(IF(ABS(INDEX(Lookups!$H$2:$H$5,MATCH(J66,Lookups!$G$2:$G$5,0))-INDEX(Lookups!$H$2:$H$5,MATCH(K66,Lookups!$G$2:$G$5,0)))&lt;=1,"Yes","No"),"Check"))</f>
        <v/>
      </c>
      <c r="M66" s="43" t="n">
        <v>188566.9</v>
      </c>
      <c r="N66" s="29" t="inlineStr">
        <is>
          <t>Yes</t>
        </is>
      </c>
      <c r="O66" s="39" t="n">
        <v>3</v>
      </c>
      <c r="P66" s="27" t="n"/>
      <c r="Q66" s="29">
        <f>IF(N66&lt;&gt;"Yes","n/a",IF(OR(AND(O66&lt;&gt;"",O66&gt;$W$1),P66="Y"),"Yes",IF(O66&lt;&gt;"","No","Pending")))</f>
        <v/>
      </c>
      <c r="R66" s="29" t="n"/>
      <c r="S66" s="29" t="inlineStr">
        <is>
          <t>Andy O'Brien</t>
        </is>
      </c>
      <c r="T66" s="29" t="inlineStr">
        <is>
          <t>State</t>
        </is>
      </c>
      <c r="U66" s="29" t="inlineStr">
        <is>
          <t>Digital Consulting Services, Email &amp; SMS, Public Records Request</t>
        </is>
      </c>
      <c r="X66" s="19" t="inlineStr">
        <is>
          <t>C</t>
        </is>
      </c>
      <c r="Y66" s="19" t="n">
        <v>44.1</v>
      </c>
      <c r="Z66" s="44" t="n">
        <v>0.625</v>
      </c>
      <c r="AA66" s="51" t="n">
        <v>0.5145999999999999</v>
      </c>
      <c r="AB66" s="46" t="n">
        <v>3</v>
      </c>
      <c r="AC66" s="19" t="inlineStr">
        <is>
          <t>Defend</t>
        </is>
      </c>
      <c r="AD66" s="19" t="n">
        <v>0.5</v>
      </c>
      <c r="AE66" s="19" t="inlineStr">
        <is>
          <t>reported</t>
        </is>
      </c>
    </row>
    <row r="67" ht="15" customHeight="1" s="20">
      <c r="A67" s="29" t="inlineStr">
        <is>
          <t>Kansas Insurance Department</t>
        </is>
      </c>
      <c r="B67" s="29" t="inlineStr">
        <is>
          <t>Kansas</t>
        </is>
      </c>
      <c r="C67" s="29" t="inlineStr">
        <is>
          <t>KS</t>
        </is>
      </c>
      <c r="D67" s="29" t="inlineStr">
        <is>
          <t>State</t>
        </is>
      </c>
      <c r="E67" s="29" t="inlineStr">
        <is>
          <t>Matt Russell</t>
        </is>
      </c>
      <c r="F67" s="29" t="inlineStr">
        <is>
          <t>Alejandro Solano</t>
        </is>
      </c>
      <c r="G67" s="39" t="inlineStr">
        <is>
          <t>Alejandro Solano</t>
        </is>
      </c>
      <c r="H67" s="29">
        <f>IF(F67="(not in WIP)","New to Enterprise",IF(F67=G67,"No","Yes"))</f>
        <v/>
      </c>
      <c r="I67" s="29">
        <f>IFERROR(INDEX(Lookups!$B$2:$B$14,MATCH(G67,Lookups!$A$2:$A$14,0)),"Not found")</f>
        <v/>
      </c>
      <c r="J67" s="29">
        <f>IFERROR(INDEX(Lookups!$E$2:$E$14,MATCH(G67,Lookups!$A$2:$A$14,0)),"")</f>
        <v/>
      </c>
      <c r="K67" s="39" t="inlineStr">
        <is>
          <t>CT</t>
        </is>
      </c>
      <c r="L67" s="29">
        <f>IF(J67="n/a","n/a",IFERROR(IF(ABS(INDEX(Lookups!$H$2:$H$5,MATCH(J67,Lookups!$G$2:$G$5,0))-INDEX(Lookups!$H$2:$H$5,MATCH(K67,Lookups!$G$2:$G$5,0)))&lt;=1,"Yes","No"),"Check"))</f>
        <v/>
      </c>
      <c r="M67" s="43" t="n">
        <v>88403.55</v>
      </c>
      <c r="N67" s="29" t="inlineStr">
        <is>
          <t>Yes</t>
        </is>
      </c>
      <c r="O67" s="39" t="n">
        <v>6</v>
      </c>
      <c r="P67" s="27" t="n"/>
      <c r="Q67" s="29">
        <f>IF(N67&lt;&gt;"Yes","n/a",IF(OR(AND(O67&lt;&gt;"",O67&gt;$W$1),P67="Y"),"Yes",IF(O67&lt;&gt;"","No","Pending")))</f>
        <v/>
      </c>
      <c r="R67" s="29" t="n"/>
      <c r="S67" s="29" t="inlineStr">
        <is>
          <t>Andy O'Brien</t>
        </is>
      </c>
      <c r="T67" s="29" t="inlineStr">
        <is>
          <t>State</t>
        </is>
      </c>
      <c r="U67" s="29" t="inlineStr">
        <is>
          <t>Email &amp; SMS, Engagement &amp; Sentiment, Forms &amp; Workflows, Public Records Request, Recurring Services, Websites, Portals, &amp; Intranets</t>
        </is>
      </c>
      <c r="X67" s="19" t="inlineStr">
        <is>
          <t>C</t>
        </is>
      </c>
      <c r="Y67" s="19" t="n">
        <v>44.1</v>
      </c>
      <c r="Z67" s="44" t="n">
        <v>0.25</v>
      </c>
      <c r="AA67" s="51" t="n">
        <v>0.3646</v>
      </c>
      <c r="AB67" s="47" t="n">
        <v>4</v>
      </c>
      <c r="AC67" s="19" t="inlineStr">
        <is>
          <t>Maintain</t>
        </is>
      </c>
      <c r="AD67" s="19" t="n">
        <v>0.3</v>
      </c>
      <c r="AE67" s="19" t="inlineStr">
        <is>
          <t>reported</t>
        </is>
      </c>
    </row>
    <row r="68" ht="15" customHeight="1" s="20">
      <c r="A68" s="29" t="inlineStr">
        <is>
          <t>Kansas Highway Patrol</t>
        </is>
      </c>
      <c r="B68" s="29" t="inlineStr">
        <is>
          <t>Kansas</t>
        </is>
      </c>
      <c r="C68" s="29" t="inlineStr">
        <is>
          <t>KS</t>
        </is>
      </c>
      <c r="D68" s="29" t="inlineStr">
        <is>
          <t>State</t>
        </is>
      </c>
      <c r="E68" s="29" t="inlineStr">
        <is>
          <t>Matt Russell</t>
        </is>
      </c>
      <c r="F68" s="29" t="inlineStr">
        <is>
          <t>Alejandro Solano</t>
        </is>
      </c>
      <c r="G68" s="39" t="inlineStr">
        <is>
          <t>Alejandro Solano</t>
        </is>
      </c>
      <c r="H68" s="29">
        <f>IF(F68="(not in WIP)","New to Enterprise",IF(F68=G68,"No","Yes"))</f>
        <v/>
      </c>
      <c r="I68" s="29">
        <f>IFERROR(INDEX(Lookups!$B$2:$B$14,MATCH(G68,Lookups!$A$2:$A$14,0)),"Not found")</f>
        <v/>
      </c>
      <c r="J68" s="29">
        <f>IFERROR(INDEX(Lookups!$E$2:$E$14,MATCH(G68,Lookups!$A$2:$A$14,0)),"")</f>
        <v/>
      </c>
      <c r="K68" s="39" t="inlineStr">
        <is>
          <t>CT</t>
        </is>
      </c>
      <c r="L68" s="29">
        <f>IF(J68="n/a","n/a",IFERROR(IF(ABS(INDEX(Lookups!$H$2:$H$5,MATCH(J68,Lookups!$G$2:$G$5,0))-INDEX(Lookups!$H$2:$H$5,MATCH(K68,Lookups!$G$2:$G$5,0)))&lt;=1,"Yes","No"),"Check"))</f>
        <v/>
      </c>
      <c r="M68" s="43" t="n">
        <v>66197.8</v>
      </c>
      <c r="N68" s="29" t="inlineStr">
        <is>
          <t>Yes</t>
        </is>
      </c>
      <c r="O68" s="39" t="n">
        <v>1</v>
      </c>
      <c r="P68" s="27" t="n"/>
      <c r="Q68" s="29">
        <f>IF(N68&lt;&gt;"Yes","n/a",IF(OR(AND(O68&lt;&gt;"",O68&gt;$W$1),P68="Y"),"Yes",IF(O68&lt;&gt;"","No","Pending")))</f>
        <v/>
      </c>
      <c r="R68" s="29" t="n"/>
      <c r="S68" s="29" t="inlineStr">
        <is>
          <t>Andy O'Brien</t>
        </is>
      </c>
      <c r="T68" s="29" t="inlineStr">
        <is>
          <t>State</t>
        </is>
      </c>
      <c r="U68" s="29" t="inlineStr">
        <is>
          <t>Public Records Request</t>
        </is>
      </c>
      <c r="X68" s="19" t="inlineStr">
        <is>
          <t>C</t>
        </is>
      </c>
      <c r="Y68" s="19" t="n">
        <v>44.1</v>
      </c>
      <c r="Z68" s="44" t="n">
        <v>0.875</v>
      </c>
      <c r="AA68" s="51" t="n">
        <v>0.6146</v>
      </c>
      <c r="AB68" s="49" t="n">
        <v>2</v>
      </c>
      <c r="AC68" s="19" t="inlineStr">
        <is>
          <t>Expansion</t>
        </is>
      </c>
      <c r="AD68" s="19" t="n">
        <v>0.8</v>
      </c>
      <c r="AE68" s="19" t="inlineStr">
        <is>
          <t>reported</t>
        </is>
      </c>
    </row>
    <row r="69" ht="15" customHeight="1" s="20">
      <c r="A69" s="29" t="inlineStr">
        <is>
          <t>Kansas State Department of Education</t>
        </is>
      </c>
      <c r="B69" s="29" t="inlineStr">
        <is>
          <t>Kansas</t>
        </is>
      </c>
      <c r="C69" s="29" t="inlineStr">
        <is>
          <t>KS</t>
        </is>
      </c>
      <c r="D69" s="29" t="inlineStr">
        <is>
          <t>State</t>
        </is>
      </c>
      <c r="E69" s="29" t="inlineStr">
        <is>
          <t>Matt Russell</t>
        </is>
      </c>
      <c r="F69" s="29" t="inlineStr">
        <is>
          <t>Alejandro Solano</t>
        </is>
      </c>
      <c r="G69" s="39" t="inlineStr">
        <is>
          <t>Alejandro Solano</t>
        </is>
      </c>
      <c r="H69" s="29">
        <f>IF(F69="(not in WIP)","New to Enterprise",IF(F69=G69,"No","Yes"))</f>
        <v/>
      </c>
      <c r="I69" s="29">
        <f>IFERROR(INDEX(Lookups!$B$2:$B$14,MATCH(G69,Lookups!$A$2:$A$14,0)),"Not found")</f>
        <v/>
      </c>
      <c r="J69" s="29">
        <f>IFERROR(INDEX(Lookups!$E$2:$E$14,MATCH(G69,Lookups!$A$2:$A$14,0)),"")</f>
        <v/>
      </c>
      <c r="K69" s="39" t="inlineStr">
        <is>
          <t>CT</t>
        </is>
      </c>
      <c r="L69" s="29">
        <f>IF(J69="n/a","n/a",IFERROR(IF(ABS(INDEX(Lookups!$H$2:$H$5,MATCH(J69,Lookups!$G$2:$G$5,0))-INDEX(Lookups!$H$2:$H$5,MATCH(K69,Lookups!$G$2:$G$5,0)))&lt;=1,"Yes","No"),"Check"))</f>
        <v/>
      </c>
      <c r="M69" s="43" t="n">
        <v>59686.87</v>
      </c>
      <c r="N69" s="29" t="inlineStr">
        <is>
          <t>Yes</t>
        </is>
      </c>
      <c r="O69" s="39" t="n">
        <v>3</v>
      </c>
      <c r="P69" s="27" t="n"/>
      <c r="Q69" s="29">
        <f>IF(N69&lt;&gt;"Yes","n/a",IF(OR(AND(O69&lt;&gt;"",O69&gt;$W$1),P69="Y"),"Yes",IF(O69&lt;&gt;"","No","Pending")))</f>
        <v/>
      </c>
      <c r="R69" s="29" t="n"/>
      <c r="S69" s="29" t="inlineStr">
        <is>
          <t>Ashley Hill</t>
        </is>
      </c>
      <c r="T69" s="29" t="inlineStr">
        <is>
          <t>State</t>
        </is>
      </c>
      <c r="U69" s="29" t="inlineStr">
        <is>
          <t>Email &amp; SMS, Engagement &amp; Sentiment, Recurring Services</t>
        </is>
      </c>
      <c r="X69" s="19" t="inlineStr">
        <is>
          <t>C</t>
        </is>
      </c>
      <c r="Y69" s="19" t="n">
        <v>44.1</v>
      </c>
      <c r="Z69" s="44" t="n">
        <v>0.625</v>
      </c>
      <c r="AA69" s="51" t="n">
        <v>0.5145999999999999</v>
      </c>
      <c r="AB69" s="47" t="n">
        <v>4</v>
      </c>
      <c r="AC69" s="19" t="inlineStr">
        <is>
          <t>Maintain</t>
        </is>
      </c>
      <c r="AD69" s="19" t="n">
        <v>0.3</v>
      </c>
      <c r="AE69" s="19" t="inlineStr">
        <is>
          <t>reported</t>
        </is>
      </c>
    </row>
    <row r="70" ht="15" customHeight="1" s="20">
      <c r="A70" s="29" t="inlineStr">
        <is>
          <t>New Orleans LA</t>
        </is>
      </c>
      <c r="B70" s="29" t="inlineStr">
        <is>
          <t>New Orleans LA</t>
        </is>
      </c>
      <c r="C70" s="29" t="inlineStr">
        <is>
          <t>LA</t>
        </is>
      </c>
      <c r="D70" s="29" t="inlineStr">
        <is>
          <t>Local ENT</t>
        </is>
      </c>
      <c r="E70" s="29" t="inlineStr">
        <is>
          <t>Austin Goodman</t>
        </is>
      </c>
      <c r="F70" s="29" t="inlineStr">
        <is>
          <t>Alejandro Solano</t>
        </is>
      </c>
      <c r="G70" s="39" t="inlineStr">
        <is>
          <t>Alejandro Solano</t>
        </is>
      </c>
      <c r="H70" s="29">
        <f>IF(F70="(not in WIP)","New to Enterprise",IF(F70=G70,"No","Yes"))</f>
        <v/>
      </c>
      <c r="I70" s="29">
        <f>IFERROR(INDEX(Lookups!$B$2:$B$14,MATCH(G70,Lookups!$A$2:$A$14,0)),"Not found")</f>
        <v/>
      </c>
      <c r="J70" s="29">
        <f>IFERROR(INDEX(Lookups!$E$2:$E$14,MATCH(G70,Lookups!$A$2:$A$14,0)),"")</f>
        <v/>
      </c>
      <c r="K70" s="39" t="inlineStr">
        <is>
          <t>CT</t>
        </is>
      </c>
      <c r="L70" s="29">
        <f>IF(J70="n/a","n/a",IFERROR(IF(ABS(INDEX(Lookups!$H$2:$H$5,MATCH(J70,Lookups!$G$2:$G$5,0))-INDEX(Lookups!$H$2:$H$5,MATCH(K70,Lookups!$G$2:$G$5,0)))&lt;=1,"Yes","No"),"Check"))</f>
        <v/>
      </c>
      <c r="M70" s="43" t="n">
        <v>423673.87</v>
      </c>
      <c r="N70" s="29" t="inlineStr">
        <is>
          <t>Yes</t>
        </is>
      </c>
      <c r="O70" s="39" t="n">
        <v>3</v>
      </c>
      <c r="P70" s="27" t="n"/>
      <c r="Q70" s="29">
        <f>IF(N70&lt;&gt;"Yes","n/a",IF(OR(AND(O70&lt;&gt;"",O70&gt;$W$1),P70="Y"),"Yes",IF(O70&lt;&gt;"","No","Pending")))</f>
        <v/>
      </c>
      <c r="R70" s="29" t="n"/>
      <c r="S70" s="29" t="inlineStr">
        <is>
          <t>Brooke Minichino</t>
        </is>
      </c>
      <c r="T70" s="29" t="inlineStr">
        <is>
          <t>Local ENT</t>
        </is>
      </c>
      <c r="U70" s="29" t="inlineStr">
        <is>
          <t>Agenda &amp; Video, Email &amp; SMS, Short-term Rentals</t>
        </is>
      </c>
      <c r="X70" s="19" t="inlineStr">
        <is>
          <t>C</t>
        </is>
      </c>
      <c r="Y70" s="19" t="n">
        <v>40.6</v>
      </c>
      <c r="Z70" s="44" t="n">
        <v>0.625</v>
      </c>
      <c r="AA70" s="51" t="n">
        <v>0.4936</v>
      </c>
      <c r="AB70" s="46" t="n">
        <v>3</v>
      </c>
      <c r="AC70" s="19" t="inlineStr">
        <is>
          <t>Defend</t>
        </is>
      </c>
      <c r="AD70" s="19" t="n">
        <v>0.5</v>
      </c>
      <c r="AE70" s="19" t="inlineStr">
        <is>
          <t>reported</t>
        </is>
      </c>
    </row>
    <row r="71" ht="15" customHeight="1" s="20">
      <c r="A71" s="29" t="inlineStr">
        <is>
          <t>Jefferson Parish - LA</t>
        </is>
      </c>
      <c r="B71" s="29" t="inlineStr">
        <is>
          <t>Jefferson Parish - LA</t>
        </is>
      </c>
      <c r="C71" s="29" t="inlineStr">
        <is>
          <t>LA</t>
        </is>
      </c>
      <c r="D71" s="29" t="inlineStr">
        <is>
          <t>Local ENT</t>
        </is>
      </c>
      <c r="E71" s="29" t="inlineStr">
        <is>
          <t>Austin Goodman</t>
        </is>
      </c>
      <c r="F71" s="29" t="inlineStr">
        <is>
          <t>Alejandro Solano</t>
        </is>
      </c>
      <c r="G71" s="39" t="inlineStr">
        <is>
          <t>Alejandro Solano</t>
        </is>
      </c>
      <c r="H71" s="29">
        <f>IF(F71="(not in WIP)","New to Enterprise",IF(F71=G71,"No","Yes"))</f>
        <v/>
      </c>
      <c r="I71" s="29">
        <f>IFERROR(INDEX(Lookups!$B$2:$B$14,MATCH(G71,Lookups!$A$2:$A$14,0)),"Not found")</f>
        <v/>
      </c>
      <c r="J71" s="29">
        <f>IFERROR(INDEX(Lookups!$E$2:$E$14,MATCH(G71,Lookups!$A$2:$A$14,0)),"")</f>
        <v/>
      </c>
      <c r="K71" s="39" t="inlineStr">
        <is>
          <t>CT</t>
        </is>
      </c>
      <c r="L71" s="29">
        <f>IF(J71="n/a","n/a",IFERROR(IF(ABS(INDEX(Lookups!$H$2:$H$5,MATCH(J71,Lookups!$G$2:$G$5,0))-INDEX(Lookups!$H$2:$H$5,MATCH(K71,Lookups!$G$2:$G$5,0)))&lt;=1,"Yes","No"),"Check"))</f>
        <v/>
      </c>
      <c r="M71" s="43" t="n">
        <v>96551.39999999999</v>
      </c>
      <c r="N71" s="29" t="inlineStr">
        <is>
          <t>Yes</t>
        </is>
      </c>
      <c r="O71" s="39" t="n">
        <v>1</v>
      </c>
      <c r="P71" s="27" t="n"/>
      <c r="Q71" s="29">
        <f>IF(N71&lt;&gt;"Yes","n/a",IF(OR(AND(O71&lt;&gt;"",O71&gt;$W$1),P71="Y"),"Yes",IF(O71&lt;&gt;"","No","Pending")))</f>
        <v/>
      </c>
      <c r="R71" s="29" t="n"/>
      <c r="S71" s="29" t="inlineStr">
        <is>
          <t>Kerrian Dailey</t>
        </is>
      </c>
      <c r="T71" s="29" t="inlineStr">
        <is>
          <t>Local ENT</t>
        </is>
      </c>
      <c r="U71" s="29" t="inlineStr">
        <is>
          <t>Agenda &amp; Video</t>
        </is>
      </c>
      <c r="X71" s="19" t="inlineStr">
        <is>
          <t>C</t>
        </is>
      </c>
      <c r="Y71" s="19" t="n">
        <v>40.6</v>
      </c>
      <c r="Z71" s="44" t="n">
        <v>0.875</v>
      </c>
      <c r="AA71" s="51" t="n">
        <v>0.5936</v>
      </c>
      <c r="AB71" s="49" t="n">
        <v>2</v>
      </c>
      <c r="AC71" s="19" t="inlineStr">
        <is>
          <t>Expansion</t>
        </is>
      </c>
      <c r="AD71" s="19" t="n">
        <v>0.8</v>
      </c>
      <c r="AE71" s="19" t="inlineStr">
        <is>
          <t>reported</t>
        </is>
      </c>
    </row>
    <row r="72" ht="15" customHeight="1" s="20">
      <c r="A72" s="29" t="inlineStr">
        <is>
          <t>Calcasieu Parish LA</t>
        </is>
      </c>
      <c r="B72" s="29" t="inlineStr">
        <is>
          <t>Calcasieu Parish LA</t>
        </is>
      </c>
      <c r="C72" s="29" t="inlineStr">
        <is>
          <t>LA</t>
        </is>
      </c>
      <c r="D72" s="29" t="inlineStr">
        <is>
          <t>Local ENT</t>
        </is>
      </c>
      <c r="E72" s="29" t="inlineStr">
        <is>
          <t>Austin Goodman</t>
        </is>
      </c>
      <c r="F72" s="29" t="inlineStr">
        <is>
          <t>Alejandro Solano</t>
        </is>
      </c>
      <c r="G72" s="39" t="inlineStr">
        <is>
          <t>Alejandro Solano</t>
        </is>
      </c>
      <c r="H72" s="29">
        <f>IF(F72="(not in WIP)","New to Enterprise",IF(F72=G72,"No","Yes"))</f>
        <v/>
      </c>
      <c r="I72" s="29">
        <f>IFERROR(INDEX(Lookups!$B$2:$B$14,MATCH(G72,Lookups!$A$2:$A$14,0)),"Not found")</f>
        <v/>
      </c>
      <c r="J72" s="29">
        <f>IFERROR(INDEX(Lookups!$E$2:$E$14,MATCH(G72,Lookups!$A$2:$A$14,0)),"")</f>
        <v/>
      </c>
      <c r="K72" s="39" t="inlineStr">
        <is>
          <t>CT</t>
        </is>
      </c>
      <c r="L72" s="29">
        <f>IF(J72="n/a","n/a",IFERROR(IF(ABS(INDEX(Lookups!$H$2:$H$5,MATCH(J72,Lookups!$G$2:$G$5,0))-INDEX(Lookups!$H$2:$H$5,MATCH(K72,Lookups!$G$2:$G$5,0)))&lt;=1,"Yes","No"),"Check"))</f>
        <v/>
      </c>
      <c r="M72" s="43" t="n">
        <v>49551.43</v>
      </c>
      <c r="N72" s="29" t="inlineStr">
        <is>
          <t>Yes</t>
        </is>
      </c>
      <c r="O72" s="39" t="n">
        <v>3</v>
      </c>
      <c r="P72" s="27" t="n"/>
      <c r="Q72" s="29">
        <f>IF(N72&lt;&gt;"Yes","n/a",IF(OR(AND(O72&lt;&gt;"",O72&gt;$W$1),P72="Y"),"Yes",IF(O72&lt;&gt;"","No","Pending")))</f>
        <v/>
      </c>
      <c r="R72" s="29" t="n"/>
      <c r="S72" s="29" t="inlineStr">
        <is>
          <t>Eduardo Ruiz</t>
        </is>
      </c>
      <c r="T72" s="29" t="inlineStr">
        <is>
          <t>Local ENT</t>
        </is>
      </c>
      <c r="U72" s="29" t="inlineStr">
        <is>
          <t>Agenda &amp; Video, Email &amp; SMS, Websites, Portals, &amp; Intranets</t>
        </is>
      </c>
      <c r="X72" s="19" t="inlineStr">
        <is>
          <t>C</t>
        </is>
      </c>
      <c r="Y72" s="19" t="n">
        <v>40.6</v>
      </c>
      <c r="Z72" s="44" t="n">
        <v>0.625</v>
      </c>
      <c r="AA72" s="51" t="n">
        <v>0.4936</v>
      </c>
      <c r="AB72" s="47" t="n">
        <v>4</v>
      </c>
      <c r="AC72" s="19" t="inlineStr">
        <is>
          <t>Maintain</t>
        </is>
      </c>
      <c r="AD72" s="19" t="n">
        <v>0.3</v>
      </c>
      <c r="AE72" s="19" t="inlineStr">
        <is>
          <t>reported</t>
        </is>
      </c>
    </row>
    <row r="73" ht="15" customHeight="1" s="20">
      <c r="A73" s="29" t="inlineStr">
        <is>
          <t>Oklahoma City OK</t>
        </is>
      </c>
      <c r="B73" s="29" t="inlineStr">
        <is>
          <t>Oklahoma City OK</t>
        </is>
      </c>
      <c r="C73" s="29" t="inlineStr">
        <is>
          <t>OK</t>
        </is>
      </c>
      <c r="D73" s="29" t="inlineStr">
        <is>
          <t>Local ENT</t>
        </is>
      </c>
      <c r="E73" s="29" t="inlineStr">
        <is>
          <t>Austin Goodman</t>
        </is>
      </c>
      <c r="F73" s="29" t="inlineStr">
        <is>
          <t>Alejandro Solano</t>
        </is>
      </c>
      <c r="G73" s="39" t="inlineStr">
        <is>
          <t>Alejandro Solano</t>
        </is>
      </c>
      <c r="H73" s="29">
        <f>IF(F73="(not in WIP)","New to Enterprise",IF(F73=G73,"No","Yes"))</f>
        <v/>
      </c>
      <c r="I73" s="29">
        <f>IFERROR(INDEX(Lookups!$B$2:$B$14,MATCH(G73,Lookups!$A$2:$A$14,0)),"Not found")</f>
        <v/>
      </c>
      <c r="J73" s="29">
        <f>IFERROR(INDEX(Lookups!$E$2:$E$14,MATCH(G73,Lookups!$A$2:$A$14,0)),"")</f>
        <v/>
      </c>
      <c r="K73" s="39" t="inlineStr">
        <is>
          <t>CT</t>
        </is>
      </c>
      <c r="L73" s="29">
        <f>IF(J73="n/a","n/a",IFERROR(IF(ABS(INDEX(Lookups!$H$2:$H$5,MATCH(J73,Lookups!$G$2:$G$5,0))-INDEX(Lookups!$H$2:$H$5,MATCH(K73,Lookups!$G$2:$G$5,0)))&lt;=1,"Yes","No"),"Check"))</f>
        <v/>
      </c>
      <c r="M73" s="43" t="n">
        <v>300030.96</v>
      </c>
      <c r="N73" s="29" t="inlineStr">
        <is>
          <t>Yes</t>
        </is>
      </c>
      <c r="O73" s="39" t="n">
        <v>7</v>
      </c>
      <c r="P73" s="27" t="n"/>
      <c r="Q73" s="29">
        <f>IF(N73&lt;&gt;"Yes","n/a",IF(OR(AND(O73&lt;&gt;"",O73&gt;$W$1),P73="Y"),"Yes",IF(O73&lt;&gt;"","No","Pending")))</f>
        <v/>
      </c>
      <c r="R73" s="29" t="n"/>
      <c r="S73" s="29" t="inlineStr">
        <is>
          <t>Ashley Hill</t>
        </is>
      </c>
      <c r="T73" s="29" t="inlineStr">
        <is>
          <t>Local ENT</t>
        </is>
      </c>
      <c r="U73" s="29" t="inlineStr">
        <is>
          <t>Agenda &amp; Video, Email &amp; SMS, Engagement &amp; Sentiment, Forms &amp; Workflows, Recurring Services, Service Request Management, Websites, Portals, &amp; Intranets</t>
        </is>
      </c>
      <c r="X73" s="19" t="inlineStr">
        <is>
          <t>B</t>
        </is>
      </c>
      <c r="Y73" s="19" t="n">
        <v>52</v>
      </c>
      <c r="Z73" s="44" t="n">
        <v>0.125</v>
      </c>
      <c r="AA73" s="51" t="n">
        <v>0.362</v>
      </c>
      <c r="AB73" s="46" t="n">
        <v>3</v>
      </c>
      <c r="AC73" s="19" t="inlineStr">
        <is>
          <t>Defend</t>
        </is>
      </c>
      <c r="AD73" s="19" t="n">
        <v>0.5</v>
      </c>
      <c r="AE73" s="19" t="inlineStr">
        <is>
          <t>reported</t>
        </is>
      </c>
    </row>
    <row r="74" ht="15" customHeight="1" s="20">
      <c r="A74" s="29" t="inlineStr">
        <is>
          <t>Oklahoma Dept of Agriculture, Food and Forestry</t>
        </is>
      </c>
      <c r="B74" s="29" t="inlineStr">
        <is>
          <t>Oklahoma</t>
        </is>
      </c>
      <c r="C74" s="29" t="inlineStr">
        <is>
          <t>OK</t>
        </is>
      </c>
      <c r="D74" s="29" t="inlineStr">
        <is>
          <t>State</t>
        </is>
      </c>
      <c r="E74" s="29" t="inlineStr">
        <is>
          <t>Matt Russell</t>
        </is>
      </c>
      <c r="F74" s="29" t="inlineStr">
        <is>
          <t>Alejandro Solano</t>
        </is>
      </c>
      <c r="G74" s="39" t="inlineStr">
        <is>
          <t>Alejandro Solano</t>
        </is>
      </c>
      <c r="H74" s="29">
        <f>IF(F74="(not in WIP)","New to Enterprise",IF(F74=G74,"No","Yes"))</f>
        <v/>
      </c>
      <c r="I74" s="29">
        <f>IFERROR(INDEX(Lookups!$B$2:$B$14,MATCH(G74,Lookups!$A$2:$A$14,0)),"Not found")</f>
        <v/>
      </c>
      <c r="J74" s="29">
        <f>IFERROR(INDEX(Lookups!$E$2:$E$14,MATCH(G74,Lookups!$A$2:$A$14,0)),"")</f>
        <v/>
      </c>
      <c r="K74" s="39" t="inlineStr">
        <is>
          <t>CT</t>
        </is>
      </c>
      <c r="L74" s="29">
        <f>IF(J74="n/a","n/a",IFERROR(IF(ABS(INDEX(Lookups!$H$2:$H$5,MATCH(J74,Lookups!$G$2:$G$5,0))-INDEX(Lookups!$H$2:$H$5,MATCH(K74,Lookups!$G$2:$G$5,0)))&lt;=1,"Yes","No"),"Check"))</f>
        <v/>
      </c>
      <c r="M74" s="43" t="n">
        <v>55382.73</v>
      </c>
      <c r="N74" s="29" t="inlineStr">
        <is>
          <t>Yes</t>
        </is>
      </c>
      <c r="O74" s="39" t="n">
        <v>2</v>
      </c>
      <c r="P74" s="27" t="n"/>
      <c r="Q74" s="29">
        <f>IF(N74&lt;&gt;"Yes","n/a",IF(OR(AND(O74&lt;&gt;"",O74&gt;$W$1),P74="Y"),"Yes",IF(O74&lt;&gt;"","No","Pending")))</f>
        <v/>
      </c>
      <c r="R74" s="29" t="n"/>
      <c r="S74" s="29" t="inlineStr">
        <is>
          <t>Natalia Sanchez</t>
        </is>
      </c>
      <c r="T74" s="29" t="inlineStr">
        <is>
          <t>State</t>
        </is>
      </c>
      <c r="U74" s="29" t="inlineStr">
        <is>
          <t>Email &amp; SMS, Public Records Request</t>
        </is>
      </c>
      <c r="X74" s="19" t="inlineStr">
        <is>
          <t>B</t>
        </is>
      </c>
      <c r="Y74" s="19" t="n">
        <v>57.6</v>
      </c>
      <c r="Z74" s="44" t="n">
        <v>0.75</v>
      </c>
      <c r="AA74" s="51" t="n">
        <v>0.6456</v>
      </c>
      <c r="AB74" s="49" t="n">
        <v>2</v>
      </c>
      <c r="AC74" s="19" t="inlineStr">
        <is>
          <t>Expansion</t>
        </is>
      </c>
      <c r="AD74" s="19" t="n">
        <v>0.8</v>
      </c>
      <c r="AE74" s="19" t="inlineStr">
        <is>
          <t>reported</t>
        </is>
      </c>
    </row>
    <row r="75" ht="15" customHeight="1" s="20">
      <c r="A75" s="29" t="inlineStr">
        <is>
          <t>Oklahoma Public Employees Retirement System</t>
        </is>
      </c>
      <c r="B75" s="29" t="inlineStr">
        <is>
          <t>Oklahoma</t>
        </is>
      </c>
      <c r="C75" s="29" t="inlineStr">
        <is>
          <t>OK</t>
        </is>
      </c>
      <c r="D75" s="29" t="inlineStr">
        <is>
          <t>State</t>
        </is>
      </c>
      <c r="E75" s="29" t="inlineStr">
        <is>
          <t>Matt Russell</t>
        </is>
      </c>
      <c r="F75" s="29" t="inlineStr">
        <is>
          <t>Alejandro Solano</t>
        </is>
      </c>
      <c r="G75" s="39" t="inlineStr">
        <is>
          <t>Alejandro Solano</t>
        </is>
      </c>
      <c r="H75" s="29">
        <f>IF(F75="(not in WIP)","New to Enterprise",IF(F75=G75,"No","Yes"))</f>
        <v/>
      </c>
      <c r="I75" s="29">
        <f>IFERROR(INDEX(Lookups!$B$2:$B$14,MATCH(G75,Lookups!$A$2:$A$14,0)),"Not found")</f>
        <v/>
      </c>
      <c r="J75" s="29">
        <f>IFERROR(INDEX(Lookups!$E$2:$E$14,MATCH(G75,Lookups!$A$2:$A$14,0)),"")</f>
        <v/>
      </c>
      <c r="K75" s="39" t="inlineStr">
        <is>
          <t>CT</t>
        </is>
      </c>
      <c r="L75" s="29">
        <f>IF(J75="n/a","n/a",IFERROR(IF(ABS(INDEX(Lookups!$H$2:$H$5,MATCH(J75,Lookups!$G$2:$G$5,0))-INDEX(Lookups!$H$2:$H$5,MATCH(K75,Lookups!$G$2:$G$5,0)))&lt;=1,"Yes","No"),"Check"))</f>
        <v/>
      </c>
      <c r="M75" s="43" t="n">
        <v>23970.87</v>
      </c>
      <c r="N75" s="29" t="inlineStr">
        <is>
          <t>Yes</t>
        </is>
      </c>
      <c r="O75" s="39" t="n">
        <v>3</v>
      </c>
      <c r="P75" s="27" t="n"/>
      <c r="Q75" s="29">
        <f>IF(N75&lt;&gt;"Yes","n/a",IF(OR(AND(O75&lt;&gt;"",O75&gt;$W$1),P75="Y"),"Yes",IF(O75&lt;&gt;"","No","Pending")))</f>
        <v/>
      </c>
      <c r="R75" s="29" t="n"/>
      <c r="S75" s="29" t="inlineStr">
        <is>
          <t>Alejandro Solano</t>
        </is>
      </c>
      <c r="T75" s="29" t="inlineStr">
        <is>
          <t>State</t>
        </is>
      </c>
      <c r="U75" s="29" t="inlineStr">
        <is>
          <t>Email &amp; SMS, Engagement &amp; Sentiment, Recurring Services</t>
        </is>
      </c>
      <c r="X75" s="19" t="inlineStr">
        <is>
          <t>B</t>
        </is>
      </c>
      <c r="Y75" s="19" t="n">
        <v>57.6</v>
      </c>
      <c r="Z75" s="44" t="n">
        <v>0.625</v>
      </c>
      <c r="AA75" s="51" t="n">
        <v>0.5956</v>
      </c>
      <c r="AB75" s="49" t="n">
        <v>2</v>
      </c>
      <c r="AC75" s="19" t="inlineStr">
        <is>
          <t>Expansion</t>
        </is>
      </c>
      <c r="AD75" s="19" t="n">
        <v>0.8</v>
      </c>
      <c r="AE75" s="19" t="inlineStr">
        <is>
          <t>reported</t>
        </is>
      </c>
    </row>
    <row r="76" ht="15" customHeight="1" s="20">
      <c r="A76" s="29" t="inlineStr">
        <is>
          <t>Dallas Area Rapid Transit (DART)</t>
        </is>
      </c>
      <c r="B76" s="29" t="inlineStr">
        <is>
          <t>Dallas County TX</t>
        </is>
      </c>
      <c r="C76" s="29" t="inlineStr">
        <is>
          <t>TX</t>
        </is>
      </c>
      <c r="D76" s="29" t="inlineStr">
        <is>
          <t>Local ENT</t>
        </is>
      </c>
      <c r="E76" s="29" t="inlineStr">
        <is>
          <t>Dallas SAM (open)</t>
        </is>
      </c>
      <c r="F76" s="29" t="inlineStr">
        <is>
          <t>(not in WIP)</t>
        </is>
      </c>
      <c r="G76" s="39" t="inlineStr">
        <is>
          <t>Alejandro Solano</t>
        </is>
      </c>
      <c r="H76" s="29">
        <f>IF(F76="(not in WIP)","New to Enterprise",IF(F76=G76,"No","Yes"))</f>
        <v/>
      </c>
      <c r="I76" s="29">
        <f>IFERROR(INDEX(Lookups!$B$2:$B$14,MATCH(G76,Lookups!$A$2:$A$14,0)),"Not found")</f>
        <v/>
      </c>
      <c r="J76" s="29">
        <f>IFERROR(INDEX(Lookups!$E$2:$E$14,MATCH(G76,Lookups!$A$2:$A$14,0)),"")</f>
        <v/>
      </c>
      <c r="K76" s="39" t="inlineStr">
        <is>
          <t>CT</t>
        </is>
      </c>
      <c r="L76" s="29">
        <f>IF(J76="n/a","n/a",IFERROR(IF(ABS(INDEX(Lookups!$H$2:$H$5,MATCH(J76,Lookups!$G$2:$G$5,0))-INDEX(Lookups!$H$2:$H$5,MATCH(K76,Lookups!$G$2:$G$5,0)))&lt;=1,"Yes","No"),"Check"))</f>
        <v/>
      </c>
      <c r="M76" s="43" t="n">
        <v>464655.03</v>
      </c>
      <c r="N76" s="29" t="inlineStr">
        <is>
          <t>Yes</t>
        </is>
      </c>
      <c r="O76" s="39" t="n">
        <v>3</v>
      </c>
      <c r="P76" s="27" t="n"/>
      <c r="Q76" s="29">
        <f>IF(N76&lt;&gt;"Yes","n/a",IF(OR(AND(O76&lt;&gt;"",O76&gt;$W$1),P76="Y"),"Yes",IF(O76&lt;&gt;"","No","Pending")))</f>
        <v/>
      </c>
      <c r="R76" s="29" t="n"/>
      <c r="S76" s="29" t="inlineStr">
        <is>
          <t>Colleen Moran</t>
        </is>
      </c>
      <c r="T76" s="29" t="inlineStr">
        <is>
          <t>Local ENT</t>
        </is>
      </c>
      <c r="U76" s="29" t="inlineStr">
        <is>
          <t>Agenda &amp; Video, Email &amp; SMS, Public Records Request</t>
        </is>
      </c>
      <c r="X76" s="19" t="inlineStr">
        <is>
          <t>A</t>
        </is>
      </c>
      <c r="Y76" s="19" t="n">
        <v>63.1</v>
      </c>
      <c r="Z76" s="44" t="n">
        <v>0.625</v>
      </c>
      <c r="AA76" s="51" t="n">
        <v>0.6286</v>
      </c>
      <c r="AB76" s="48" t="n">
        <v>1</v>
      </c>
      <c r="AC76" s="19" t="inlineStr">
        <is>
          <t>Growth engine</t>
        </is>
      </c>
      <c r="AD76" s="19" t="n">
        <v>1</v>
      </c>
      <c r="AE76" s="19" t="inlineStr">
        <is>
          <t>reported</t>
        </is>
      </c>
    </row>
    <row r="77" ht="15" customHeight="1" s="20">
      <c r="A77" s="29" t="inlineStr">
        <is>
          <t>North Central Texas Council of Governments</t>
        </is>
      </c>
      <c r="B77" s="29" t="inlineStr">
        <is>
          <t>Arlington, TX</t>
        </is>
      </c>
      <c r="C77" s="29" t="inlineStr">
        <is>
          <t>TX</t>
        </is>
      </c>
      <c r="D77" s="29" t="inlineStr">
        <is>
          <t>Local ENT</t>
        </is>
      </c>
      <c r="E77" s="29" t="inlineStr">
        <is>
          <t>Dallas SAM (open)</t>
        </is>
      </c>
      <c r="F77" s="29" t="inlineStr">
        <is>
          <t>(not in WIP)</t>
        </is>
      </c>
      <c r="G77" s="39" t="inlineStr">
        <is>
          <t>Alejandro Solano</t>
        </is>
      </c>
      <c r="H77" s="29">
        <f>IF(F77="(not in WIP)","New to Enterprise",IF(F77=G77,"No","Yes"))</f>
        <v/>
      </c>
      <c r="I77" s="29">
        <f>IFERROR(INDEX(Lookups!$B$2:$B$14,MATCH(G77,Lookups!$A$2:$A$14,0)),"Not found")</f>
        <v/>
      </c>
      <c r="J77" s="29">
        <f>IFERROR(INDEX(Lookups!$E$2:$E$14,MATCH(G77,Lookups!$A$2:$A$14,0)),"")</f>
        <v/>
      </c>
      <c r="K77" s="39" t="inlineStr">
        <is>
          <t>CT</t>
        </is>
      </c>
      <c r="L77" s="29">
        <f>IF(J77="n/a","n/a",IFERROR(IF(ABS(INDEX(Lookups!$H$2:$H$5,MATCH(J77,Lookups!$G$2:$G$5,0))-INDEX(Lookups!$H$2:$H$5,MATCH(K77,Lookups!$G$2:$G$5,0)))&lt;=1,"Yes","No"),"Check"))</f>
        <v/>
      </c>
      <c r="M77" s="43" t="n">
        <v>83278.41</v>
      </c>
      <c r="N77" s="29" t="inlineStr">
        <is>
          <t>Yes</t>
        </is>
      </c>
      <c r="O77" s="39" t="n">
        <v>1</v>
      </c>
      <c r="P77" s="27" t="n"/>
      <c r="Q77" s="29">
        <f>IF(N77&lt;&gt;"Yes","n/a",IF(OR(AND(O77&lt;&gt;"",O77&gt;$W$1),P77="Y"),"Yes",IF(O77&lt;&gt;"","No","Pending")))</f>
        <v/>
      </c>
      <c r="R77" s="29" t="n"/>
      <c r="S77" s="29" t="inlineStr">
        <is>
          <t>David Treminio</t>
        </is>
      </c>
      <c r="T77" s="29" t="inlineStr">
        <is>
          <t>Local ENT</t>
        </is>
      </c>
      <c r="U77" s="29" t="inlineStr">
        <is>
          <t>Agenda &amp; Video</t>
        </is>
      </c>
      <c r="X77" s="19" t="inlineStr">
        <is>
          <t>A</t>
        </is>
      </c>
      <c r="Y77" s="19" t="n">
        <v>63.1</v>
      </c>
      <c r="Z77" s="44" t="n">
        <v>0.875</v>
      </c>
      <c r="AA77" s="51" t="n">
        <v>0.7286</v>
      </c>
      <c r="AB77" s="49" t="n">
        <v>2</v>
      </c>
      <c r="AC77" s="19" t="inlineStr">
        <is>
          <t>Expansion</t>
        </is>
      </c>
      <c r="AD77" s="19" t="n">
        <v>0.8</v>
      </c>
      <c r="AE77" s="19" t="inlineStr">
        <is>
          <t>reported</t>
        </is>
      </c>
    </row>
    <row r="78" ht="15" customHeight="1" s="20">
      <c r="A78" s="29" t="inlineStr">
        <is>
          <t>Utah Department of Corrections</t>
        </is>
      </c>
      <c r="B78" s="29" t="inlineStr">
        <is>
          <t>Utah</t>
        </is>
      </c>
      <c r="C78" s="29" t="inlineStr">
        <is>
          <t>UT</t>
        </is>
      </c>
      <c r="D78" s="29" t="inlineStr">
        <is>
          <t>State</t>
        </is>
      </c>
      <c r="E78" s="29" t="inlineStr">
        <is>
          <t>Che Bustos</t>
        </is>
      </c>
      <c r="F78" s="29" t="inlineStr">
        <is>
          <t>Paige Wendle</t>
        </is>
      </c>
      <c r="G78" s="39" t="inlineStr">
        <is>
          <t>Alejandro Solano</t>
        </is>
      </c>
      <c r="H78" s="29">
        <f>IF(F78="(not in WIP)","New to Enterprise",IF(F78=G78,"No","Yes"))</f>
        <v/>
      </c>
      <c r="I78" s="29">
        <f>IFERROR(INDEX(Lookups!$B$2:$B$14,MATCH(G78,Lookups!$A$2:$A$14,0)),"Not found")</f>
        <v/>
      </c>
      <c r="J78" s="29">
        <f>IFERROR(INDEX(Lookups!$E$2:$E$14,MATCH(G78,Lookups!$A$2:$A$14,0)),"")</f>
        <v/>
      </c>
      <c r="K78" s="39" t="inlineStr">
        <is>
          <t>MT</t>
        </is>
      </c>
      <c r="L78" s="29">
        <f>IF(J78="n/a","n/a",IFERROR(IF(ABS(INDEX(Lookups!$H$2:$H$5,MATCH(J78,Lookups!$G$2:$G$5,0))-INDEX(Lookups!$H$2:$H$5,MATCH(K78,Lookups!$G$2:$G$5,0)))&lt;=1,"Yes","No"),"Check"))</f>
        <v/>
      </c>
      <c r="M78" s="43" t="n">
        <v>95340.39</v>
      </c>
      <c r="N78" s="29" t="inlineStr">
        <is>
          <t>Yes</t>
        </is>
      </c>
      <c r="O78" s="39" t="n">
        <v>1</v>
      </c>
      <c r="P78" s="27" t="n"/>
      <c r="Q78" s="29">
        <f>IF(N78&lt;&gt;"Yes","n/a",IF(OR(AND(O78&lt;&gt;"",O78&gt;$W$1),P78="Y"),"Yes",IF(O78&lt;&gt;"","No","Pending")))</f>
        <v/>
      </c>
      <c r="R78" s="29" t="n"/>
      <c r="S78" s="29" t="inlineStr">
        <is>
          <t>Paige Wendle</t>
        </is>
      </c>
      <c r="T78" s="29" t="inlineStr">
        <is>
          <t>State</t>
        </is>
      </c>
      <c r="U78" s="29" t="inlineStr">
        <is>
          <t>Public Records Request</t>
        </is>
      </c>
      <c r="X78" s="19" t="inlineStr">
        <is>
          <t>B</t>
        </is>
      </c>
      <c r="Y78" s="19" t="n">
        <v>57.5</v>
      </c>
      <c r="Z78" s="44" t="n">
        <v>0.875</v>
      </c>
      <c r="AA78" s="51" t="n">
        <v>0.695</v>
      </c>
      <c r="AB78" s="49" t="n">
        <v>2</v>
      </c>
      <c r="AC78" s="19" t="inlineStr">
        <is>
          <t>Expansion</t>
        </is>
      </c>
      <c r="AD78" s="19" t="n">
        <v>0.8</v>
      </c>
      <c r="AE78" s="19" t="inlineStr">
        <is>
          <t>reported</t>
        </is>
      </c>
    </row>
    <row r="79" ht="15" customHeight="1" s="20">
      <c r="A79" s="29" t="inlineStr">
        <is>
          <t>Montgomery, AL</t>
        </is>
      </c>
      <c r="B79" s="29" t="inlineStr">
        <is>
          <t>Montgomery, AL</t>
        </is>
      </c>
      <c r="C79" s="29" t="inlineStr">
        <is>
          <t>AL</t>
        </is>
      </c>
      <c r="D79" s="29" t="inlineStr">
        <is>
          <t>Local ENT</t>
        </is>
      </c>
      <c r="E79" s="29" t="inlineStr">
        <is>
          <t>Spencer Ferrell</t>
        </is>
      </c>
      <c r="F79" s="29" t="inlineStr">
        <is>
          <t>Carolina Cambronero</t>
        </is>
      </c>
      <c r="G79" s="39" t="inlineStr">
        <is>
          <t>Taylor Roman</t>
        </is>
      </c>
      <c r="H79" s="29">
        <f>IF(F79="(not in WIP)","New to Enterprise",IF(F79=G79,"No","Yes"))</f>
        <v/>
      </c>
      <c r="I79" s="29">
        <f>IFERROR(INDEX(Lookups!$B$2:$B$14,MATCH(G79,Lookups!$A$2:$A$14,0)),"Not found")</f>
        <v/>
      </c>
      <c r="J79" s="29">
        <f>IFERROR(INDEX(Lookups!$E$2:$E$14,MATCH(G79,Lookups!$A$2:$A$14,0)),"")</f>
        <v/>
      </c>
      <c r="K79" s="39" t="inlineStr">
        <is>
          <t>CT</t>
        </is>
      </c>
      <c r="L79" s="29">
        <f>IF(J79="n/a","n/a",IFERROR(IF(ABS(INDEX(Lookups!$H$2:$H$5,MATCH(J79,Lookups!$G$2:$G$5,0))-INDEX(Lookups!$H$2:$H$5,MATCH(K79,Lookups!$G$2:$G$5,0)))&lt;=1,"Yes","No"),"Check"))</f>
        <v/>
      </c>
      <c r="M79" s="43" t="n">
        <v>57779.94</v>
      </c>
      <c r="N79" s="29" t="inlineStr">
        <is>
          <t>Yes</t>
        </is>
      </c>
      <c r="O79" s="39" t="n">
        <v>5</v>
      </c>
      <c r="P79" s="27" t="n"/>
      <c r="Q79" s="29">
        <f>IF(N79&lt;&gt;"Yes","n/a",IF(OR(AND(O79&lt;&gt;"",O79&gt;$W$1),P79="Y"),"Yes",IF(O79&lt;&gt;"","No","Pending")))</f>
        <v/>
      </c>
      <c r="R79" s="29" t="n"/>
      <c r="S79" s="29" t="inlineStr">
        <is>
          <t>Brooke Minichino</t>
        </is>
      </c>
      <c r="T79" s="29" t="inlineStr">
        <is>
          <t>Local ENT</t>
        </is>
      </c>
      <c r="U79" s="29" t="inlineStr">
        <is>
          <t>Email &amp; SMS, Engagement &amp; Sentiment, Experience Agents, Recurring Services, Websites, Portals, &amp; Intranets</t>
        </is>
      </c>
      <c r="X79" s="19" t="inlineStr">
        <is>
          <t>B</t>
        </is>
      </c>
      <c r="Y79" s="19" t="n">
        <v>55.1</v>
      </c>
      <c r="Z79" s="44" t="n">
        <v>0.375</v>
      </c>
      <c r="AA79" s="51" t="n">
        <v>0.4806</v>
      </c>
      <c r="AB79" s="47" t="n">
        <v>4</v>
      </c>
      <c r="AC79" s="19" t="inlineStr">
        <is>
          <t>Maintain</t>
        </is>
      </c>
      <c r="AD79" s="19" t="n">
        <v>0.3</v>
      </c>
      <c r="AE79" s="19" t="inlineStr">
        <is>
          <t>reported</t>
        </is>
      </c>
    </row>
    <row r="80" ht="15" customHeight="1" s="20">
      <c r="A80" s="29" t="inlineStr">
        <is>
          <t>Alabama Department of Education</t>
        </is>
      </c>
      <c r="B80" s="29" t="inlineStr">
        <is>
          <t>Alabama</t>
        </is>
      </c>
      <c r="C80" s="29" t="inlineStr">
        <is>
          <t>AL</t>
        </is>
      </c>
      <c r="D80" s="29" t="inlineStr">
        <is>
          <t>State</t>
        </is>
      </c>
      <c r="E80" s="29" t="inlineStr">
        <is>
          <t>Sarah Duncan</t>
        </is>
      </c>
      <c r="F80" s="29" t="inlineStr">
        <is>
          <t>Carolina Cambronero</t>
        </is>
      </c>
      <c r="G80" s="39" t="inlineStr">
        <is>
          <t>Taylor Roman</t>
        </is>
      </c>
      <c r="H80" s="29">
        <f>IF(F80="(not in WIP)","New to Enterprise",IF(F80=G80,"No","Yes"))</f>
        <v/>
      </c>
      <c r="I80" s="29">
        <f>IFERROR(INDEX(Lookups!$B$2:$B$14,MATCH(G80,Lookups!$A$2:$A$14,0)),"Not found")</f>
        <v/>
      </c>
      <c r="J80" s="29">
        <f>IFERROR(INDEX(Lookups!$E$2:$E$14,MATCH(G80,Lookups!$A$2:$A$14,0)),"")</f>
        <v/>
      </c>
      <c r="K80" s="39" t="inlineStr">
        <is>
          <t>CT</t>
        </is>
      </c>
      <c r="L80" s="29">
        <f>IF(J80="n/a","n/a",IFERROR(IF(ABS(INDEX(Lookups!$H$2:$H$5,MATCH(J80,Lookups!$G$2:$G$5,0))-INDEX(Lookups!$H$2:$H$5,MATCH(K80,Lookups!$G$2:$G$5,0)))&lt;=1,"Yes","No"),"Check"))</f>
        <v/>
      </c>
      <c r="M80" s="43" t="n">
        <v>75086.02</v>
      </c>
      <c r="N80" s="29" t="inlineStr">
        <is>
          <t>Yes</t>
        </is>
      </c>
      <c r="O80" s="39" t="n">
        <v>4</v>
      </c>
      <c r="P80" s="27" t="n"/>
      <c r="Q80" s="29">
        <f>IF(N80&lt;&gt;"Yes","n/a",IF(OR(AND(O80&lt;&gt;"",O80&gt;$W$1),P80="Y"),"Yes",IF(O80&lt;&gt;"","No","Pending")))</f>
        <v/>
      </c>
      <c r="R80" s="29" t="n"/>
      <c r="S80" s="29" t="inlineStr">
        <is>
          <t>Brooke Minichino</t>
        </is>
      </c>
      <c r="T80" s="29" t="inlineStr">
        <is>
          <t>State</t>
        </is>
      </c>
      <c r="U80" s="29" t="inlineStr">
        <is>
          <t>Email &amp; SMS, Engagement &amp; Sentiment, Public Records Request, Recurring Services</t>
        </is>
      </c>
      <c r="X80" s="19" t="inlineStr">
        <is>
          <t>A</t>
        </is>
      </c>
      <c r="Y80" s="19" t="n">
        <v>58.4</v>
      </c>
      <c r="Z80" s="44" t="n">
        <v>0.5</v>
      </c>
      <c r="AA80" s="51" t="n">
        <v>0.5504</v>
      </c>
      <c r="AB80" s="47" t="n">
        <v>4</v>
      </c>
      <c r="AC80" s="19" t="inlineStr">
        <is>
          <t>Maintain</t>
        </is>
      </c>
      <c r="AD80" s="19" t="n">
        <v>0.3</v>
      </c>
      <c r="AE80" s="19" t="inlineStr">
        <is>
          <t>reported</t>
        </is>
      </c>
    </row>
    <row r="81" ht="15" customHeight="1" s="20">
      <c r="A81" s="29" t="inlineStr">
        <is>
          <t>Miami FL</t>
        </is>
      </c>
      <c r="B81" s="29" t="inlineStr">
        <is>
          <t>Miami FL</t>
        </is>
      </c>
      <c r="C81" s="29" t="inlineStr">
        <is>
          <t>FL</t>
        </is>
      </c>
      <c r="D81" s="29" t="inlineStr">
        <is>
          <t>Local ENT</t>
        </is>
      </c>
      <c r="E81" s="29" t="inlineStr">
        <is>
          <t>Bill Marshall</t>
        </is>
      </c>
      <c r="F81" s="29" t="inlineStr">
        <is>
          <t>Taylor Roman</t>
        </is>
      </c>
      <c r="G81" s="39" t="inlineStr">
        <is>
          <t>Taylor Roman</t>
        </is>
      </c>
      <c r="H81" s="29">
        <f>IF(F81="(not in WIP)","New to Enterprise",IF(F81=G81,"No","Yes"))</f>
        <v/>
      </c>
      <c r="I81" s="29">
        <f>IFERROR(INDEX(Lookups!$B$2:$B$14,MATCH(G81,Lookups!$A$2:$A$14,0)),"Not found")</f>
        <v/>
      </c>
      <c r="J81" s="29">
        <f>IFERROR(INDEX(Lookups!$E$2:$E$14,MATCH(G81,Lookups!$A$2:$A$14,0)),"")</f>
        <v/>
      </c>
      <c r="K81" s="39" t="inlineStr">
        <is>
          <t>ET</t>
        </is>
      </c>
      <c r="L81" s="29">
        <f>IF(J81="n/a","n/a",IFERROR(IF(ABS(INDEX(Lookups!$H$2:$H$5,MATCH(J81,Lookups!$G$2:$G$5,0))-INDEX(Lookups!$H$2:$H$5,MATCH(K81,Lookups!$G$2:$G$5,0)))&lt;=1,"Yes","No"),"Check"))</f>
        <v/>
      </c>
      <c r="M81" s="43" t="n">
        <v>305300.64</v>
      </c>
      <c r="N81" s="29" t="inlineStr">
        <is>
          <t>Yes</t>
        </is>
      </c>
      <c r="O81" s="39" t="n">
        <v>4</v>
      </c>
      <c r="P81" s="27" t="n"/>
      <c r="Q81" s="29">
        <f>IF(N81&lt;&gt;"Yes","n/a",IF(OR(AND(O81&lt;&gt;"",O81&gt;$W$1),P81="Y"),"Yes",IF(O81&lt;&gt;"","No","Pending")))</f>
        <v/>
      </c>
      <c r="R81" s="29" t="n"/>
      <c r="S81" s="29" t="inlineStr">
        <is>
          <t>Taylor Roman</t>
        </is>
      </c>
      <c r="T81" s="29" t="inlineStr">
        <is>
          <t>Local ENT</t>
        </is>
      </c>
      <c r="U81" s="29" t="inlineStr">
        <is>
          <t>Agenda &amp; Video, Email &amp; SMS, Forms &amp; Workflows, Websites, Portals, &amp; Intranets</t>
        </is>
      </c>
      <c r="X81" s="19" t="inlineStr">
        <is>
          <t>B</t>
        </is>
      </c>
      <c r="Y81" s="19" t="n">
        <v>57.8</v>
      </c>
      <c r="Z81" s="44" t="n">
        <v>0.5</v>
      </c>
      <c r="AA81" s="51" t="n">
        <v>0.5468</v>
      </c>
      <c r="AB81" s="46" t="n">
        <v>3</v>
      </c>
      <c r="AC81" s="19" t="inlineStr">
        <is>
          <t>Defend</t>
        </is>
      </c>
      <c r="AD81" s="19" t="n">
        <v>0.5</v>
      </c>
      <c r="AE81" s="19" t="inlineStr">
        <is>
          <t>reported</t>
        </is>
      </c>
    </row>
    <row r="82" ht="15" customHeight="1" s="20">
      <c r="A82" s="29" t="inlineStr">
        <is>
          <t>Collier County FL</t>
        </is>
      </c>
      <c r="B82" s="29" t="inlineStr">
        <is>
          <t>Collier County FL</t>
        </is>
      </c>
      <c r="C82" s="29" t="inlineStr">
        <is>
          <t>FL</t>
        </is>
      </c>
      <c r="D82" s="29" t="inlineStr">
        <is>
          <t>Local ENT</t>
        </is>
      </c>
      <c r="E82" s="29" t="inlineStr">
        <is>
          <t>Bill Marshall</t>
        </is>
      </c>
      <c r="F82" s="29" t="inlineStr">
        <is>
          <t>Carolina Cambronero</t>
        </is>
      </c>
      <c r="G82" s="39" t="inlineStr">
        <is>
          <t>Taylor Roman</t>
        </is>
      </c>
      <c r="H82" s="29">
        <f>IF(F82="(not in WIP)","New to Enterprise",IF(F82=G82,"No","Yes"))</f>
        <v/>
      </c>
      <c r="I82" s="29">
        <f>IFERROR(INDEX(Lookups!$B$2:$B$14,MATCH(G82,Lookups!$A$2:$A$14,0)),"Not found")</f>
        <v/>
      </c>
      <c r="J82" s="29">
        <f>IFERROR(INDEX(Lookups!$E$2:$E$14,MATCH(G82,Lookups!$A$2:$A$14,0)),"")</f>
        <v/>
      </c>
      <c r="K82" s="39" t="inlineStr">
        <is>
          <t>ET</t>
        </is>
      </c>
      <c r="L82" s="29">
        <f>IF(J82="n/a","n/a",IFERROR(IF(ABS(INDEX(Lookups!$H$2:$H$5,MATCH(J82,Lookups!$G$2:$G$5,0))-INDEX(Lookups!$H$2:$H$5,MATCH(K82,Lookups!$G$2:$G$5,0)))&lt;=1,"Yes","No"),"Check"))</f>
        <v/>
      </c>
      <c r="M82" s="43" t="n">
        <v>199447.53</v>
      </c>
      <c r="N82" s="29" t="inlineStr">
        <is>
          <t>Yes</t>
        </is>
      </c>
      <c r="O82" s="39" t="n">
        <v>6</v>
      </c>
      <c r="P82" s="27" t="n"/>
      <c r="Q82" s="29">
        <f>IF(N82&lt;&gt;"Yes","n/a",IF(OR(AND(O82&lt;&gt;"",O82&gt;$W$1),P82="Y"),"Yes",IF(O82&lt;&gt;"","No","Pending")))</f>
        <v/>
      </c>
      <c r="R82" s="29" t="n"/>
      <c r="S82" s="29" t="inlineStr">
        <is>
          <t>Eduardo Ruiz</t>
        </is>
      </c>
      <c r="T82" s="29" t="inlineStr">
        <is>
          <t>Local ENT</t>
        </is>
      </c>
      <c r="U82" s="29" t="inlineStr">
        <is>
          <t>Email &amp; SMS, Engagement &amp; Sentiment, Forms &amp; Workflows, Recurring Services, Service Request Management, Websites, Portals, &amp; Intranets</t>
        </is>
      </c>
      <c r="X82" s="19" t="inlineStr">
        <is>
          <t>B</t>
        </is>
      </c>
      <c r="Y82" s="19" t="n">
        <v>57.8</v>
      </c>
      <c r="Z82" s="44" t="n">
        <v>0.25</v>
      </c>
      <c r="AA82" s="51" t="n">
        <v>0.4468</v>
      </c>
      <c r="AB82" s="46" t="n">
        <v>3</v>
      </c>
      <c r="AC82" s="19" t="inlineStr">
        <is>
          <t>Defend</t>
        </is>
      </c>
      <c r="AD82" s="19" t="n">
        <v>0.5</v>
      </c>
      <c r="AE82" s="19" t="inlineStr">
        <is>
          <t>reported</t>
        </is>
      </c>
    </row>
    <row r="83" ht="15" customHeight="1" s="20">
      <c r="A83" s="29" t="inlineStr">
        <is>
          <t>Fort Lauderdale, FL</t>
        </is>
      </c>
      <c r="B83" s="29" t="inlineStr">
        <is>
          <t>Fort Lauderdale, FL</t>
        </is>
      </c>
      <c r="C83" s="29" t="inlineStr">
        <is>
          <t>FL</t>
        </is>
      </c>
      <c r="D83" s="29" t="inlineStr">
        <is>
          <t>Local ENT</t>
        </is>
      </c>
      <c r="E83" s="29" t="inlineStr">
        <is>
          <t>Bill Marshall</t>
        </is>
      </c>
      <c r="F83" s="29" t="inlineStr">
        <is>
          <t>Carolina Cambronero</t>
        </is>
      </c>
      <c r="G83" s="39" t="inlineStr">
        <is>
          <t>Taylor Roman</t>
        </is>
      </c>
      <c r="H83" s="29">
        <f>IF(F83="(not in WIP)","New to Enterprise",IF(F83=G83,"No","Yes"))</f>
        <v/>
      </c>
      <c r="I83" s="29">
        <f>IFERROR(INDEX(Lookups!$B$2:$B$14,MATCH(G83,Lookups!$A$2:$A$14,0)),"Not found")</f>
        <v/>
      </c>
      <c r="J83" s="29">
        <f>IFERROR(INDEX(Lookups!$E$2:$E$14,MATCH(G83,Lookups!$A$2:$A$14,0)),"")</f>
        <v/>
      </c>
      <c r="K83" s="39" t="inlineStr">
        <is>
          <t>ET</t>
        </is>
      </c>
      <c r="L83" s="29">
        <f>IF(J83="n/a","n/a",IFERROR(IF(ABS(INDEX(Lookups!$H$2:$H$5,MATCH(J83,Lookups!$G$2:$G$5,0))-INDEX(Lookups!$H$2:$H$5,MATCH(K83,Lookups!$G$2:$G$5,0)))&lt;=1,"Yes","No"),"Check"))</f>
        <v/>
      </c>
      <c r="M83" s="43" t="n">
        <v>174734.87</v>
      </c>
      <c r="N83" s="29" t="inlineStr">
        <is>
          <t>Yes</t>
        </is>
      </c>
      <c r="O83" s="39" t="n">
        <v>6</v>
      </c>
      <c r="P83" s="27" t="n"/>
      <c r="Q83" s="29">
        <f>IF(N83&lt;&gt;"Yes","n/a",IF(OR(AND(O83&lt;&gt;"",O83&gt;$W$1),P83="Y"),"Yes",IF(O83&lt;&gt;"","No","Pending")))</f>
        <v/>
      </c>
      <c r="R83" s="29" t="n"/>
      <c r="S83" s="29" t="inlineStr">
        <is>
          <t>Eduardo Ruiz</t>
        </is>
      </c>
      <c r="T83" s="29" t="inlineStr">
        <is>
          <t>Local ENT</t>
        </is>
      </c>
      <c r="U83" s="29" t="inlineStr">
        <is>
          <t>Agenda &amp; Video, Email &amp; SMS, Engagement &amp; Sentiment, Forms &amp; Workflows, Recurring Services, Websites, Portals, &amp; Intranets</t>
        </is>
      </c>
      <c r="X83" s="19" t="inlineStr">
        <is>
          <t>B</t>
        </is>
      </c>
      <c r="Y83" s="19" t="n">
        <v>57.8</v>
      </c>
      <c r="Z83" s="44" t="n">
        <v>0.25</v>
      </c>
      <c r="AA83" s="51" t="n">
        <v>0.4468</v>
      </c>
      <c r="AB83" s="46" t="n">
        <v>3</v>
      </c>
      <c r="AC83" s="19" t="inlineStr">
        <is>
          <t>Defend</t>
        </is>
      </c>
      <c r="AD83" s="19" t="n">
        <v>0.5</v>
      </c>
      <c r="AE83" s="19" t="inlineStr">
        <is>
          <t>reported</t>
        </is>
      </c>
    </row>
    <row r="84" ht="15" customHeight="1" s="20">
      <c r="A84" s="29" t="inlineStr">
        <is>
          <t>Palm Beach County FL Sheriff’s Office</t>
        </is>
      </c>
      <c r="B84" s="29" t="inlineStr">
        <is>
          <t>Palm Beach County, FL</t>
        </is>
      </c>
      <c r="C84" s="29" t="inlineStr">
        <is>
          <t>FL</t>
        </is>
      </c>
      <c r="D84" s="29" t="inlineStr">
        <is>
          <t>Local ENT</t>
        </is>
      </c>
      <c r="E84" s="29" t="inlineStr">
        <is>
          <t>Bill Marshall</t>
        </is>
      </c>
      <c r="F84" s="29" t="inlineStr">
        <is>
          <t>Carolina Cambronero</t>
        </is>
      </c>
      <c r="G84" s="39" t="inlineStr">
        <is>
          <t>Taylor Roman</t>
        </is>
      </c>
      <c r="H84" s="29">
        <f>IF(F84="(not in WIP)","New to Enterprise",IF(F84=G84,"No","Yes"))</f>
        <v/>
      </c>
      <c r="I84" s="29">
        <f>IFERROR(INDEX(Lookups!$B$2:$B$14,MATCH(G84,Lookups!$A$2:$A$14,0)),"Not found")</f>
        <v/>
      </c>
      <c r="J84" s="29">
        <f>IFERROR(INDEX(Lookups!$E$2:$E$14,MATCH(G84,Lookups!$A$2:$A$14,0)),"")</f>
        <v/>
      </c>
      <c r="K84" s="39" t="inlineStr">
        <is>
          <t>ET</t>
        </is>
      </c>
      <c r="L84" s="29">
        <f>IF(J84="n/a","n/a",IFERROR(IF(ABS(INDEX(Lookups!$H$2:$H$5,MATCH(J84,Lookups!$G$2:$G$5,0))-INDEX(Lookups!$H$2:$H$5,MATCH(K84,Lookups!$G$2:$G$5,0)))&lt;=1,"Yes","No"),"Check"))</f>
        <v/>
      </c>
      <c r="M84" s="43" t="n">
        <v>155536.32</v>
      </c>
      <c r="N84" s="29" t="inlineStr">
        <is>
          <t>Yes</t>
        </is>
      </c>
      <c r="O84" s="39" t="n">
        <v>1</v>
      </c>
      <c r="P84" s="27" t="n"/>
      <c r="Q84" s="29">
        <f>IF(N84&lt;&gt;"Yes","n/a",IF(OR(AND(O84&lt;&gt;"",O84&gt;$W$1),P84="Y"),"Yes",IF(O84&lt;&gt;"","No","Pending")))</f>
        <v/>
      </c>
      <c r="R84" s="29" t="n"/>
      <c r="S84" s="29" t="inlineStr">
        <is>
          <t>Brooke Minichino</t>
        </is>
      </c>
      <c r="T84" s="29" t="inlineStr">
        <is>
          <t>Local ENT</t>
        </is>
      </c>
      <c r="U84" s="29" t="inlineStr">
        <is>
          <t>Public Records Request</t>
        </is>
      </c>
      <c r="X84" s="19" t="inlineStr">
        <is>
          <t>B</t>
        </is>
      </c>
      <c r="Y84" s="19" t="n">
        <v>57.8</v>
      </c>
      <c r="Z84" s="44" t="n">
        <v>0.875</v>
      </c>
      <c r="AA84" s="51" t="n">
        <v>0.6968</v>
      </c>
      <c r="AB84" s="48" t="n">
        <v>1</v>
      </c>
      <c r="AC84" s="19" t="inlineStr">
        <is>
          <t>Growth engine</t>
        </is>
      </c>
      <c r="AD84" s="19" t="n">
        <v>1</v>
      </c>
      <c r="AE84" s="19" t="inlineStr">
        <is>
          <t>reported</t>
        </is>
      </c>
    </row>
    <row r="85" ht="15" customHeight="1" s="20">
      <c r="A85" s="29" t="inlineStr">
        <is>
          <t>Palm Beach County, FL</t>
        </is>
      </c>
      <c r="B85" s="29" t="inlineStr">
        <is>
          <t>Palm Beach County, FL</t>
        </is>
      </c>
      <c r="C85" s="29" t="inlineStr">
        <is>
          <t>FL</t>
        </is>
      </c>
      <c r="D85" s="29" t="inlineStr">
        <is>
          <t>Local ENT</t>
        </is>
      </c>
      <c r="E85" s="29" t="inlineStr">
        <is>
          <t>Bill Marshall</t>
        </is>
      </c>
      <c r="F85" s="29" t="inlineStr">
        <is>
          <t>Carolina Cambronero</t>
        </is>
      </c>
      <c r="G85" s="39" t="inlineStr">
        <is>
          <t>Taylor Roman</t>
        </is>
      </c>
      <c r="H85" s="29">
        <f>IF(F85="(not in WIP)","New to Enterprise",IF(F85=G85,"No","Yes"))</f>
        <v/>
      </c>
      <c r="I85" s="29">
        <f>IFERROR(INDEX(Lookups!$B$2:$B$14,MATCH(G85,Lookups!$A$2:$A$14,0)),"Not found")</f>
        <v/>
      </c>
      <c r="J85" s="29">
        <f>IFERROR(INDEX(Lookups!$E$2:$E$14,MATCH(G85,Lookups!$A$2:$A$14,0)),"")</f>
        <v/>
      </c>
      <c r="K85" s="39" t="inlineStr">
        <is>
          <t>ET</t>
        </is>
      </c>
      <c r="L85" s="29">
        <f>IF(J85="n/a","n/a",IFERROR(IF(ABS(INDEX(Lookups!$H$2:$H$5,MATCH(J85,Lookups!$G$2:$G$5,0))-INDEX(Lookups!$H$2:$H$5,MATCH(K85,Lookups!$G$2:$G$5,0)))&lt;=1,"Yes","No"),"Check"))</f>
        <v/>
      </c>
      <c r="M85" s="43" t="n">
        <v>138945.81</v>
      </c>
      <c r="N85" s="29" t="inlineStr">
        <is>
          <t>Yes</t>
        </is>
      </c>
      <c r="O85" s="39" t="n">
        <v>1</v>
      </c>
      <c r="P85" s="27" t="n"/>
      <c r="Q85" s="29">
        <f>IF(N85&lt;&gt;"Yes","n/a",IF(OR(AND(O85&lt;&gt;"",O85&gt;$W$1),P85="Y"),"Yes",IF(O85&lt;&gt;"","No","Pending")))</f>
        <v/>
      </c>
      <c r="R85" s="29" t="n"/>
      <c r="S85" s="29" t="inlineStr">
        <is>
          <t>Brooke Minichino</t>
        </is>
      </c>
      <c r="T85" s="29" t="inlineStr">
        <is>
          <t>Local ENT</t>
        </is>
      </c>
      <c r="U85" s="29" t="inlineStr">
        <is>
          <t>Agenda &amp; Video</t>
        </is>
      </c>
      <c r="X85" s="19" t="inlineStr">
        <is>
          <t>B</t>
        </is>
      </c>
      <c r="Y85" s="19" t="n">
        <v>57.8</v>
      </c>
      <c r="Z85" s="44" t="n">
        <v>0.875</v>
      </c>
      <c r="AA85" s="51" t="n">
        <v>0.6968</v>
      </c>
      <c r="AB85" s="48" t="n">
        <v>1</v>
      </c>
      <c r="AC85" s="19" t="inlineStr">
        <is>
          <t>Growth engine</t>
        </is>
      </c>
      <c r="AD85" s="19" t="n">
        <v>1</v>
      </c>
      <c r="AE85" s="19" t="inlineStr">
        <is>
          <t>reported</t>
        </is>
      </c>
    </row>
    <row r="86" ht="15" customHeight="1" s="20">
      <c r="A86" s="29" t="inlineStr">
        <is>
          <t>Health Care District of Palm Beach County - FL</t>
        </is>
      </c>
      <c r="B86" s="29" t="inlineStr">
        <is>
          <t>Palm Beach County, FL</t>
        </is>
      </c>
      <c r="C86" s="29" t="inlineStr">
        <is>
          <t>FL</t>
        </is>
      </c>
      <c r="D86" s="29" t="inlineStr">
        <is>
          <t>Local ENT</t>
        </is>
      </c>
      <c r="E86" s="29" t="inlineStr">
        <is>
          <t>Bill Marshall</t>
        </is>
      </c>
      <c r="F86" s="29" t="inlineStr">
        <is>
          <t>(not in WIP)</t>
        </is>
      </c>
      <c r="G86" s="39" t="inlineStr">
        <is>
          <t>Taylor Roman</t>
        </is>
      </c>
      <c r="H86" s="29">
        <f>IF(F86="(not in WIP)","New to Enterprise",IF(F86=G86,"No","Yes"))</f>
        <v/>
      </c>
      <c r="I86" s="29">
        <f>IFERROR(INDEX(Lookups!$B$2:$B$14,MATCH(G86,Lookups!$A$2:$A$14,0)),"Not found")</f>
        <v/>
      </c>
      <c r="J86" s="29">
        <f>IFERROR(INDEX(Lookups!$E$2:$E$14,MATCH(G86,Lookups!$A$2:$A$14,0)),"")</f>
        <v/>
      </c>
      <c r="K86" s="39" t="inlineStr">
        <is>
          <t>ET</t>
        </is>
      </c>
      <c r="L86" s="29">
        <f>IF(J86="n/a","n/a",IFERROR(IF(ABS(INDEX(Lookups!$H$2:$H$5,MATCH(J86,Lookups!$G$2:$G$5,0))-INDEX(Lookups!$H$2:$H$5,MATCH(K86,Lookups!$G$2:$G$5,0)))&lt;=1,"Yes","No"),"Check"))</f>
        <v/>
      </c>
      <c r="M86" s="43" t="n">
        <v>125000</v>
      </c>
      <c r="N86" s="29" t="inlineStr">
        <is>
          <t>Yes</t>
        </is>
      </c>
      <c r="O86" s="39" t="n">
        <v>5</v>
      </c>
      <c r="P86" s="27" t="n"/>
      <c r="Q86" s="29">
        <f>IF(N86&lt;&gt;"Yes","n/a",IF(OR(AND(O86&lt;&gt;"",O86&gt;$W$1),P86="Y"),"Yes",IF(O86&lt;&gt;"","No","Pending")))</f>
        <v/>
      </c>
      <c r="R86" s="29" t="n"/>
      <c r="S86" s="29" t="inlineStr">
        <is>
          <t>Carolina Cambronero</t>
        </is>
      </c>
      <c r="T86" s="29" t="inlineStr">
        <is>
          <t>Local ENT</t>
        </is>
      </c>
      <c r="U86" s="29" t="inlineStr">
        <is>
          <t>Email &amp; SMS, Engagement &amp; Sentiment, Forms &amp; Workflows, Recurring Services, Websites, Portals, &amp; Intranets</t>
        </is>
      </c>
      <c r="X86" s="19" t="inlineStr">
        <is>
          <t>B</t>
        </is>
      </c>
      <c r="Y86" s="19" t="n">
        <v>57.8</v>
      </c>
      <c r="Z86" s="44" t="n">
        <v>0.375</v>
      </c>
      <c r="AA86" s="51" t="n">
        <v>0.4968</v>
      </c>
      <c r="AB86" s="46" t="n">
        <v>3</v>
      </c>
      <c r="AC86" s="19" t="inlineStr">
        <is>
          <t>Defend</t>
        </is>
      </c>
      <c r="AD86" s="19" t="n">
        <v>0.5</v>
      </c>
      <c r="AE86" s="19" t="inlineStr">
        <is>
          <t>reported</t>
        </is>
      </c>
    </row>
    <row r="87" ht="15" customHeight="1" s="20">
      <c r="A87" s="29" t="inlineStr">
        <is>
          <t>Miami-Dade County FL</t>
        </is>
      </c>
      <c r="B87" s="29" t="inlineStr">
        <is>
          <t>Miami-Dade County FL</t>
        </is>
      </c>
      <c r="C87" s="29" t="inlineStr">
        <is>
          <t>FL</t>
        </is>
      </c>
      <c r="D87" s="29" t="inlineStr">
        <is>
          <t>Local ENT</t>
        </is>
      </c>
      <c r="E87" s="29" t="inlineStr">
        <is>
          <t>Bill Marshall</t>
        </is>
      </c>
      <c r="F87" s="29" t="inlineStr">
        <is>
          <t>Carolina Cambronero</t>
        </is>
      </c>
      <c r="G87" s="39" t="inlineStr">
        <is>
          <t>Taylor Roman</t>
        </is>
      </c>
      <c r="H87" s="29">
        <f>IF(F87="(not in WIP)","New to Enterprise",IF(F87=G87,"No","Yes"))</f>
        <v/>
      </c>
      <c r="I87" s="29">
        <f>IFERROR(INDEX(Lookups!$B$2:$B$14,MATCH(G87,Lookups!$A$2:$A$14,0)),"Not found")</f>
        <v/>
      </c>
      <c r="J87" s="29">
        <f>IFERROR(INDEX(Lookups!$E$2:$E$14,MATCH(G87,Lookups!$A$2:$A$14,0)),"")</f>
        <v/>
      </c>
      <c r="K87" s="39" t="inlineStr">
        <is>
          <t>ET</t>
        </is>
      </c>
      <c r="L87" s="29">
        <f>IF(J87="n/a","n/a",IFERROR(IF(ABS(INDEX(Lookups!$H$2:$H$5,MATCH(J87,Lookups!$G$2:$G$5,0))-INDEX(Lookups!$H$2:$H$5,MATCH(K87,Lookups!$G$2:$G$5,0)))&lt;=1,"Yes","No"),"Check"))</f>
        <v/>
      </c>
      <c r="M87" s="43" t="n">
        <v>124583.45</v>
      </c>
      <c r="N87" s="29" t="inlineStr">
        <is>
          <t>Yes</t>
        </is>
      </c>
      <c r="O87" s="39" t="n">
        <v>2</v>
      </c>
      <c r="P87" s="27" t="n"/>
      <c r="Q87" s="29">
        <f>IF(N87&lt;&gt;"Yes","n/a",IF(OR(AND(O87&lt;&gt;"",O87&gt;$W$1),P87="Y"),"Yes",IF(O87&lt;&gt;"","No","Pending")))</f>
        <v/>
      </c>
      <c r="R87" s="29" t="n"/>
      <c r="S87" s="29" t="inlineStr">
        <is>
          <t>Carolina Cambronero</t>
        </is>
      </c>
      <c r="T87" s="29" t="inlineStr">
        <is>
          <t>Local ENT</t>
        </is>
      </c>
      <c r="U87" s="29" t="inlineStr">
        <is>
          <t>Agenda &amp; Video, Short-term Rentals</t>
        </is>
      </c>
      <c r="X87" s="19" t="inlineStr">
        <is>
          <t>B</t>
        </is>
      </c>
      <c r="Y87" s="19" t="n">
        <v>57.8</v>
      </c>
      <c r="Z87" s="44" t="n">
        <v>0.75</v>
      </c>
      <c r="AA87" s="51" t="n">
        <v>0.6468</v>
      </c>
      <c r="AB87" s="48" t="n">
        <v>1</v>
      </c>
      <c r="AC87" s="19" t="inlineStr">
        <is>
          <t>Growth engine</t>
        </is>
      </c>
      <c r="AD87" s="19" t="n">
        <v>1</v>
      </c>
      <c r="AE87" s="19" t="inlineStr">
        <is>
          <t>reported</t>
        </is>
      </c>
    </row>
    <row r="88" ht="15" customHeight="1" s="20">
      <c r="A88" s="29" t="inlineStr">
        <is>
          <t>North Collier Fire Control and Rescue District</t>
        </is>
      </c>
      <c r="B88" s="29" t="inlineStr">
        <is>
          <t>Naples, FL</t>
        </is>
      </c>
      <c r="C88" s="29" t="inlineStr">
        <is>
          <t>FL</t>
        </is>
      </c>
      <c r="D88" s="29" t="inlineStr">
        <is>
          <t>Local ENT</t>
        </is>
      </c>
      <c r="E88" s="29" t="inlineStr">
        <is>
          <t>Bill Marshall</t>
        </is>
      </c>
      <c r="F88" s="29" t="inlineStr">
        <is>
          <t>(not in WIP)</t>
        </is>
      </c>
      <c r="G88" s="39" t="inlineStr">
        <is>
          <t>Taylor Roman</t>
        </is>
      </c>
      <c r="H88" s="29">
        <f>IF(F88="(not in WIP)","New to Enterprise",IF(F88=G88,"No","Yes"))</f>
        <v/>
      </c>
      <c r="I88" s="29">
        <f>IFERROR(INDEX(Lookups!$B$2:$B$14,MATCH(G88,Lookups!$A$2:$A$14,0)),"Not found")</f>
        <v/>
      </c>
      <c r="J88" s="29">
        <f>IFERROR(INDEX(Lookups!$E$2:$E$14,MATCH(G88,Lookups!$A$2:$A$14,0)),"")</f>
        <v/>
      </c>
      <c r="K88" s="39" t="inlineStr">
        <is>
          <t>ET</t>
        </is>
      </c>
      <c r="L88" s="29">
        <f>IF(J88="n/a","n/a",IFERROR(IF(ABS(INDEX(Lookups!$H$2:$H$5,MATCH(J88,Lookups!$G$2:$G$5,0))-INDEX(Lookups!$H$2:$H$5,MATCH(K88,Lookups!$G$2:$G$5,0)))&lt;=1,"Yes","No"),"Check"))</f>
        <v/>
      </c>
      <c r="M88" s="43" t="n">
        <v>43219</v>
      </c>
      <c r="N88" s="29" t="inlineStr">
        <is>
          <t>Yes</t>
        </is>
      </c>
      <c r="O88" s="39" t="n">
        <v>5</v>
      </c>
      <c r="P88" s="27" t="n"/>
      <c r="Q88" s="29">
        <f>IF(N88&lt;&gt;"Yes","n/a",IF(OR(AND(O88&lt;&gt;"",O88&gt;$W$1),P88="Y"),"Yes",IF(O88&lt;&gt;"","No","Pending")))</f>
        <v/>
      </c>
      <c r="R88" s="29" t="n"/>
      <c r="S88" s="29" t="inlineStr">
        <is>
          <t>Eduardo Ruiz</t>
        </is>
      </c>
      <c r="T88" s="29" t="inlineStr">
        <is>
          <t>Local ENT</t>
        </is>
      </c>
      <c r="U88" s="29" t="inlineStr">
        <is>
          <t>Email &amp; SMS, Engagement &amp; Sentiment, Forms &amp; Workflows, Recurring Services, Websites, Portals, &amp; Intranets</t>
        </is>
      </c>
      <c r="X88" s="19" t="inlineStr">
        <is>
          <t>B</t>
        </is>
      </c>
      <c r="Y88" s="19" t="n">
        <v>57.8</v>
      </c>
      <c r="Z88" s="44" t="n">
        <v>0.375</v>
      </c>
      <c r="AA88" s="51" t="n">
        <v>0.4968</v>
      </c>
      <c r="AB88" s="47" t="n">
        <v>4</v>
      </c>
      <c r="AC88" s="19" t="inlineStr">
        <is>
          <t>Maintain</t>
        </is>
      </c>
      <c r="AD88" s="19" t="n">
        <v>0.3</v>
      </c>
      <c r="AE88" s="19" t="inlineStr">
        <is>
          <t>reported</t>
        </is>
      </c>
    </row>
    <row r="89" ht="15" customHeight="1" s="20">
      <c r="A89" s="29" t="inlineStr">
        <is>
          <t>DeKalb County, GA</t>
        </is>
      </c>
      <c r="B89" s="29" t="inlineStr">
        <is>
          <t>DeKalb County, GA</t>
        </is>
      </c>
      <c r="C89" s="29" t="inlineStr">
        <is>
          <t>GA</t>
        </is>
      </c>
      <c r="D89" s="29" t="inlineStr">
        <is>
          <t>Local ENT</t>
        </is>
      </c>
      <c r="E89" s="29" t="inlineStr">
        <is>
          <t>Spencer Ferrell</t>
        </is>
      </c>
      <c r="F89" s="29" t="inlineStr">
        <is>
          <t>Andy O'Brien</t>
        </is>
      </c>
      <c r="G89" s="39" t="inlineStr">
        <is>
          <t>Taylor Roman</t>
        </is>
      </c>
      <c r="H89" s="29">
        <f>IF(F89="(not in WIP)","New to Enterprise",IF(F89=G89,"No","Yes"))</f>
        <v/>
      </c>
      <c r="I89" s="29">
        <f>IFERROR(INDEX(Lookups!$B$2:$B$14,MATCH(G89,Lookups!$A$2:$A$14,0)),"Not found")</f>
        <v/>
      </c>
      <c r="J89" s="29">
        <f>IFERROR(INDEX(Lookups!$E$2:$E$14,MATCH(G89,Lookups!$A$2:$A$14,0)),"")</f>
        <v/>
      </c>
      <c r="K89" s="39" t="inlineStr">
        <is>
          <t>ET</t>
        </is>
      </c>
      <c r="L89" s="29">
        <f>IF(J89="n/a","n/a",IFERROR(IF(ABS(INDEX(Lookups!$H$2:$H$5,MATCH(J89,Lookups!$G$2:$G$5,0))-INDEX(Lookups!$H$2:$H$5,MATCH(K89,Lookups!$G$2:$G$5,0)))&lt;=1,"Yes","No"),"Check"))</f>
        <v/>
      </c>
      <c r="M89" s="43" t="n">
        <v>276832.45</v>
      </c>
      <c r="N89" s="29" t="inlineStr">
        <is>
          <t>Yes</t>
        </is>
      </c>
      <c r="O89" s="39" t="n">
        <v>3</v>
      </c>
      <c r="P89" s="27" t="n"/>
      <c r="Q89" s="29">
        <f>IF(N89&lt;&gt;"Yes","n/a",IF(OR(AND(O89&lt;&gt;"",O89&gt;$W$1),P89="Y"),"Yes",IF(O89&lt;&gt;"","No","Pending")))</f>
        <v/>
      </c>
      <c r="R89" s="29" t="n"/>
      <c r="S89" s="29" t="inlineStr">
        <is>
          <t>Carolina Cambronero</t>
        </is>
      </c>
      <c r="T89" s="29" t="inlineStr">
        <is>
          <t>Local ENT</t>
        </is>
      </c>
      <c r="U89" s="29" t="inlineStr">
        <is>
          <t>Agenda &amp; Video, Engagement &amp; Sentiment, Public Records Request</t>
        </is>
      </c>
      <c r="X89" s="19" t="inlineStr">
        <is>
          <t>A</t>
        </is>
      </c>
      <c r="Y89" s="19" t="n">
        <v>61.3</v>
      </c>
      <c r="Z89" s="44" t="n">
        <v>0.625</v>
      </c>
      <c r="AA89" s="51" t="n">
        <v>0.6178</v>
      </c>
      <c r="AB89" s="48" t="n">
        <v>1</v>
      </c>
      <c r="AC89" s="19" t="inlineStr">
        <is>
          <t>Growth engine</t>
        </is>
      </c>
      <c r="AD89" s="19" t="n">
        <v>1</v>
      </c>
      <c r="AE89" s="19" t="inlineStr">
        <is>
          <t>reported</t>
        </is>
      </c>
    </row>
    <row r="90" ht="15" customHeight="1" s="20">
      <c r="A90" s="29" t="inlineStr">
        <is>
          <t>Cobb County GA</t>
        </is>
      </c>
      <c r="B90" s="29" t="inlineStr">
        <is>
          <t>Cobb County GA</t>
        </is>
      </c>
      <c r="C90" s="29" t="inlineStr">
        <is>
          <t>GA</t>
        </is>
      </c>
      <c r="D90" s="29" t="inlineStr">
        <is>
          <t>Local ENT</t>
        </is>
      </c>
      <c r="E90" s="29" t="inlineStr">
        <is>
          <t>Spencer Ferrell</t>
        </is>
      </c>
      <c r="F90" s="29" t="inlineStr">
        <is>
          <t>Andy O'Brien</t>
        </is>
      </c>
      <c r="G90" s="39" t="inlineStr">
        <is>
          <t>Taylor Roman</t>
        </is>
      </c>
      <c r="H90" s="29">
        <f>IF(F90="(not in WIP)","New to Enterprise",IF(F90=G90,"No","Yes"))</f>
        <v/>
      </c>
      <c r="I90" s="29">
        <f>IFERROR(INDEX(Lookups!$B$2:$B$14,MATCH(G90,Lookups!$A$2:$A$14,0)),"Not found")</f>
        <v/>
      </c>
      <c r="J90" s="29">
        <f>IFERROR(INDEX(Lookups!$E$2:$E$14,MATCH(G90,Lookups!$A$2:$A$14,0)),"")</f>
        <v/>
      </c>
      <c r="K90" s="39" t="inlineStr">
        <is>
          <t>ET</t>
        </is>
      </c>
      <c r="L90" s="29">
        <f>IF(J90="n/a","n/a",IFERROR(IF(ABS(INDEX(Lookups!$H$2:$H$5,MATCH(J90,Lookups!$G$2:$G$5,0))-INDEX(Lookups!$H$2:$H$5,MATCH(K90,Lookups!$G$2:$G$5,0)))&lt;=1,"Yes","No"),"Check"))</f>
        <v/>
      </c>
      <c r="M90" s="43" t="n">
        <v>130026.55</v>
      </c>
      <c r="N90" s="29" t="inlineStr">
        <is>
          <t>Yes</t>
        </is>
      </c>
      <c r="O90" s="39" t="n">
        <v>1</v>
      </c>
      <c r="P90" s="27" t="n"/>
      <c r="Q90" s="29">
        <f>IF(N90&lt;&gt;"Yes","n/a",IF(OR(AND(O90&lt;&gt;"",O90&gt;$W$1),P90="Y"),"Yes",IF(O90&lt;&gt;"","No","Pending")))</f>
        <v/>
      </c>
      <c r="R90" s="29" t="n"/>
      <c r="S90" s="29" t="inlineStr">
        <is>
          <t>Andy O'Brien</t>
        </is>
      </c>
      <c r="T90" s="29" t="inlineStr">
        <is>
          <t>Local ENT</t>
        </is>
      </c>
      <c r="U90" s="29" t="inlineStr">
        <is>
          <t>Public Records Request</t>
        </is>
      </c>
      <c r="X90" s="19" t="inlineStr">
        <is>
          <t>A</t>
        </is>
      </c>
      <c r="Y90" s="19" t="n">
        <v>61.3</v>
      </c>
      <c r="Z90" s="44" t="n">
        <v>0.875</v>
      </c>
      <c r="AA90" s="51" t="n">
        <v>0.7178</v>
      </c>
      <c r="AB90" s="48" t="n">
        <v>1</v>
      </c>
      <c r="AC90" s="19" t="inlineStr">
        <is>
          <t>Growth engine</t>
        </is>
      </c>
      <c r="AD90" s="19" t="n">
        <v>1</v>
      </c>
      <c r="AE90" s="19" t="inlineStr">
        <is>
          <t>reported</t>
        </is>
      </c>
    </row>
    <row r="91" ht="15" customHeight="1" s="20">
      <c r="A91" s="29" t="inlineStr">
        <is>
          <t>Georgia Department of Natural Resources</t>
        </is>
      </c>
      <c r="B91" s="29" t="inlineStr">
        <is>
          <t>Georgia</t>
        </is>
      </c>
      <c r="C91" s="29" t="inlineStr">
        <is>
          <t>GA</t>
        </is>
      </c>
      <c r="D91" s="29" t="inlineStr">
        <is>
          <t>State</t>
        </is>
      </c>
      <c r="E91" s="29" t="inlineStr">
        <is>
          <t>Sarah Duncan</t>
        </is>
      </c>
      <c r="F91" s="29" t="inlineStr">
        <is>
          <t>Andy O'Brien</t>
        </is>
      </c>
      <c r="G91" s="39" t="inlineStr">
        <is>
          <t>Taylor Roman</t>
        </is>
      </c>
      <c r="H91" s="29">
        <f>IF(F91="(not in WIP)","New to Enterprise",IF(F91=G91,"No","Yes"))</f>
        <v/>
      </c>
      <c r="I91" s="29">
        <f>IFERROR(INDEX(Lookups!$B$2:$B$14,MATCH(G91,Lookups!$A$2:$A$14,0)),"Not found")</f>
        <v/>
      </c>
      <c r="J91" s="29">
        <f>IFERROR(INDEX(Lookups!$E$2:$E$14,MATCH(G91,Lookups!$A$2:$A$14,0)),"")</f>
        <v/>
      </c>
      <c r="K91" s="39" t="inlineStr">
        <is>
          <t>ET</t>
        </is>
      </c>
      <c r="L91" s="29">
        <f>IF(J91="n/a","n/a",IFERROR(IF(ABS(INDEX(Lookups!$H$2:$H$5,MATCH(J91,Lookups!$G$2:$G$5,0))-INDEX(Lookups!$H$2:$H$5,MATCH(K91,Lookups!$G$2:$G$5,0)))&lt;=1,"Yes","No"),"Check"))</f>
        <v/>
      </c>
      <c r="M91" s="43" t="n">
        <v>129709.97</v>
      </c>
      <c r="N91" s="29" t="inlineStr">
        <is>
          <t>Yes</t>
        </is>
      </c>
      <c r="O91" s="39" t="n">
        <v>3</v>
      </c>
      <c r="P91" s="27" t="n"/>
      <c r="Q91" s="29">
        <f>IF(N91&lt;&gt;"Yes","n/a",IF(OR(AND(O91&lt;&gt;"",O91&gt;$W$1),P91="Y"),"Yes",IF(O91&lt;&gt;"","No","Pending")))</f>
        <v/>
      </c>
      <c r="R91" s="29" t="n"/>
      <c r="S91" s="29" t="inlineStr">
        <is>
          <t>Kerrian Dailey</t>
        </is>
      </c>
      <c r="T91" s="29" t="inlineStr">
        <is>
          <t>State</t>
        </is>
      </c>
      <c r="U91" s="29" t="inlineStr">
        <is>
          <t>Email &amp; SMS, Engagement &amp; Sentiment, Recurring Services</t>
        </is>
      </c>
      <c r="X91" s="19" t="inlineStr">
        <is>
          <t>A</t>
        </is>
      </c>
      <c r="Y91" s="19" t="n">
        <v>77.5</v>
      </c>
      <c r="Z91" s="44" t="n">
        <v>0.625</v>
      </c>
      <c r="AA91" s="51" t="n">
        <v>0.715</v>
      </c>
      <c r="AB91" s="48" t="n">
        <v>1</v>
      </c>
      <c r="AC91" s="19" t="inlineStr">
        <is>
          <t>Growth engine</t>
        </is>
      </c>
      <c r="AD91" s="19" t="n">
        <v>1</v>
      </c>
      <c r="AE91" s="19" t="inlineStr">
        <is>
          <t>reported</t>
        </is>
      </c>
    </row>
    <row r="92" ht="15" customHeight="1" s="20">
      <c r="A92" s="29" t="inlineStr">
        <is>
          <t>Georgia Office of the Commissioner of Insurance and Safety Fire</t>
        </is>
      </c>
      <c r="B92" s="29" t="inlineStr">
        <is>
          <t>Georgia Office of the Commissioner of Insurance and Safety Fire</t>
        </is>
      </c>
      <c r="C92" s="29" t="inlineStr">
        <is>
          <t>GA</t>
        </is>
      </c>
      <c r="D92" s="29" t="inlineStr">
        <is>
          <t>State</t>
        </is>
      </c>
      <c r="E92" s="29" t="inlineStr">
        <is>
          <t>Sarah Duncan</t>
        </is>
      </c>
      <c r="F92" s="29" t="inlineStr">
        <is>
          <t>Andy O'Brien</t>
        </is>
      </c>
      <c r="G92" s="39" t="inlineStr">
        <is>
          <t>Taylor Roman</t>
        </is>
      </c>
      <c r="H92" s="29">
        <f>IF(F92="(not in WIP)","New to Enterprise",IF(F92=G92,"No","Yes"))</f>
        <v/>
      </c>
      <c r="I92" s="29">
        <f>IFERROR(INDEX(Lookups!$B$2:$B$14,MATCH(G92,Lookups!$A$2:$A$14,0)),"Not found")</f>
        <v/>
      </c>
      <c r="J92" s="29">
        <f>IFERROR(INDEX(Lookups!$E$2:$E$14,MATCH(G92,Lookups!$A$2:$A$14,0)),"")</f>
        <v/>
      </c>
      <c r="K92" s="39" t="inlineStr">
        <is>
          <t>ET</t>
        </is>
      </c>
      <c r="L92" s="29">
        <f>IF(J92="n/a","n/a",IFERROR(IF(ABS(INDEX(Lookups!$H$2:$H$5,MATCH(J92,Lookups!$G$2:$G$5,0))-INDEX(Lookups!$H$2:$H$5,MATCH(K92,Lookups!$G$2:$G$5,0)))&lt;=1,"Yes","No"),"Check"))</f>
        <v/>
      </c>
      <c r="M92" s="43" t="n">
        <v>70482.44</v>
      </c>
      <c r="N92" s="29" t="inlineStr">
        <is>
          <t>Yes</t>
        </is>
      </c>
      <c r="O92" s="39" t="n">
        <v>1</v>
      </c>
      <c r="P92" s="27" t="n"/>
      <c r="Q92" s="29">
        <f>IF(N92&lt;&gt;"Yes","n/a",IF(OR(AND(O92&lt;&gt;"",O92&gt;$W$1),P92="Y"),"Yes",IF(O92&lt;&gt;"","No","Pending")))</f>
        <v/>
      </c>
      <c r="R92" s="29" t="n"/>
      <c r="S92" s="29" t="inlineStr">
        <is>
          <t>Andy O'Brien</t>
        </is>
      </c>
      <c r="T92" s="29" t="inlineStr">
        <is>
          <t>State</t>
        </is>
      </c>
      <c r="U92" s="29" t="inlineStr">
        <is>
          <t>Public Records Request</t>
        </is>
      </c>
      <c r="X92" s="19" t="inlineStr">
        <is>
          <t>A</t>
        </is>
      </c>
      <c r="Y92" s="19" t="n">
        <v>77.5</v>
      </c>
      <c r="Z92" s="44" t="n">
        <v>0.875</v>
      </c>
      <c r="AA92" s="51" t="n">
        <v>0.8149999999999999</v>
      </c>
      <c r="AB92" s="49" t="n">
        <v>2</v>
      </c>
      <c r="AC92" s="19" t="inlineStr">
        <is>
          <t>Expansion</t>
        </is>
      </c>
      <c r="AD92" s="19" t="n">
        <v>0.8</v>
      </c>
      <c r="AE92" s="19" t="inlineStr">
        <is>
          <t>reported</t>
        </is>
      </c>
    </row>
    <row r="93" ht="15" customHeight="1" s="20">
      <c r="A93" s="29" t="inlineStr">
        <is>
          <t>Georgia Bureau of Investigation</t>
        </is>
      </c>
      <c r="B93" s="29" t="inlineStr">
        <is>
          <t>Georgia</t>
        </is>
      </c>
      <c r="C93" s="29" t="inlineStr">
        <is>
          <t>GA</t>
        </is>
      </c>
      <c r="D93" s="29" t="inlineStr">
        <is>
          <t>State</t>
        </is>
      </c>
      <c r="E93" s="29" t="inlineStr">
        <is>
          <t>Sarah Duncan</t>
        </is>
      </c>
      <c r="F93" s="29" t="inlineStr">
        <is>
          <t>Andy O'Brien</t>
        </is>
      </c>
      <c r="G93" s="39" t="inlineStr">
        <is>
          <t>Taylor Roman</t>
        </is>
      </c>
      <c r="H93" s="29">
        <f>IF(F93="(not in WIP)","New to Enterprise",IF(F93=G93,"No","Yes"))</f>
        <v/>
      </c>
      <c r="I93" s="29">
        <f>IFERROR(INDEX(Lookups!$B$2:$B$14,MATCH(G93,Lookups!$A$2:$A$14,0)),"Not found")</f>
        <v/>
      </c>
      <c r="J93" s="29">
        <f>IFERROR(INDEX(Lookups!$E$2:$E$14,MATCH(G93,Lookups!$A$2:$A$14,0)),"")</f>
        <v/>
      </c>
      <c r="K93" s="39" t="inlineStr">
        <is>
          <t>ET</t>
        </is>
      </c>
      <c r="L93" s="29">
        <f>IF(J93="n/a","n/a",IFERROR(IF(ABS(INDEX(Lookups!$H$2:$H$5,MATCH(J93,Lookups!$G$2:$G$5,0))-INDEX(Lookups!$H$2:$H$5,MATCH(K93,Lookups!$G$2:$G$5,0)))&lt;=1,"Yes","No"),"Check"))</f>
        <v/>
      </c>
      <c r="M93" s="43" t="n">
        <v>62864.56</v>
      </c>
      <c r="N93" s="29" t="inlineStr">
        <is>
          <t>Yes</t>
        </is>
      </c>
      <c r="O93" s="39" t="n">
        <v>1</v>
      </c>
      <c r="P93" s="27" t="n"/>
      <c r="Q93" s="29">
        <f>IF(N93&lt;&gt;"Yes","n/a",IF(OR(AND(O93&lt;&gt;"",O93&gt;$W$1),P93="Y"),"Yes",IF(O93&lt;&gt;"","No","Pending")))</f>
        <v/>
      </c>
      <c r="R93" s="29" t="n"/>
      <c r="S93" s="29" t="inlineStr">
        <is>
          <t>Andy O'Brien</t>
        </is>
      </c>
      <c r="T93" s="29" t="inlineStr">
        <is>
          <t>State</t>
        </is>
      </c>
      <c r="U93" s="29" t="inlineStr">
        <is>
          <t>Public Records Request</t>
        </is>
      </c>
      <c r="X93" s="19" t="inlineStr">
        <is>
          <t>A</t>
        </is>
      </c>
      <c r="Y93" s="19" t="n">
        <v>77.5</v>
      </c>
      <c r="Z93" s="44" t="n">
        <v>0.875</v>
      </c>
      <c r="AA93" s="51" t="n">
        <v>0.8149999999999999</v>
      </c>
      <c r="AB93" s="49" t="n">
        <v>2</v>
      </c>
      <c r="AC93" s="19" t="inlineStr">
        <is>
          <t>Expansion</t>
        </is>
      </c>
      <c r="AD93" s="19" t="n">
        <v>0.8</v>
      </c>
      <c r="AE93" s="19" t="inlineStr">
        <is>
          <t>reported</t>
        </is>
      </c>
    </row>
    <row r="94" ht="15" customHeight="1" s="20">
      <c r="A94" s="29" t="inlineStr">
        <is>
          <t>Georgia Department of Community Affairs</t>
        </is>
      </c>
      <c r="B94" s="29" t="inlineStr">
        <is>
          <t>Georgia</t>
        </is>
      </c>
      <c r="C94" s="29" t="inlineStr">
        <is>
          <t>GA</t>
        </is>
      </c>
      <c r="D94" s="29" t="inlineStr">
        <is>
          <t>State</t>
        </is>
      </c>
      <c r="E94" s="29" t="inlineStr">
        <is>
          <t>Sarah Duncan</t>
        </is>
      </c>
      <c r="F94" s="29" t="inlineStr">
        <is>
          <t>Andy O'Brien</t>
        </is>
      </c>
      <c r="G94" s="39" t="inlineStr">
        <is>
          <t>Taylor Roman</t>
        </is>
      </c>
      <c r="H94" s="29">
        <f>IF(F94="(not in WIP)","New to Enterprise",IF(F94=G94,"No","Yes"))</f>
        <v/>
      </c>
      <c r="I94" s="29">
        <f>IFERROR(INDEX(Lookups!$B$2:$B$14,MATCH(G94,Lookups!$A$2:$A$14,0)),"Not found")</f>
        <v/>
      </c>
      <c r="J94" s="29">
        <f>IFERROR(INDEX(Lookups!$E$2:$E$14,MATCH(G94,Lookups!$A$2:$A$14,0)),"")</f>
        <v/>
      </c>
      <c r="K94" s="39" t="inlineStr">
        <is>
          <t>ET</t>
        </is>
      </c>
      <c r="L94" s="29">
        <f>IF(J94="n/a","n/a",IFERROR(IF(ABS(INDEX(Lookups!$H$2:$H$5,MATCH(J94,Lookups!$G$2:$G$5,0))-INDEX(Lookups!$H$2:$H$5,MATCH(K94,Lookups!$G$2:$G$5,0)))&lt;=1,"Yes","No"),"Check"))</f>
        <v/>
      </c>
      <c r="M94" s="43" t="n">
        <v>40228.62</v>
      </c>
      <c r="N94" s="29" t="inlineStr">
        <is>
          <t>Yes</t>
        </is>
      </c>
      <c r="O94" s="39" t="n">
        <v>1</v>
      </c>
      <c r="P94" s="27" t="n"/>
      <c r="Q94" s="29">
        <f>IF(N94&lt;&gt;"Yes","n/a",IF(OR(AND(O94&lt;&gt;"",O94&gt;$W$1),P94="Y"),"Yes",IF(O94&lt;&gt;"","No","Pending")))</f>
        <v/>
      </c>
      <c r="R94" s="29" t="n"/>
      <c r="S94" s="29" t="inlineStr">
        <is>
          <t>Eduardo Ruiz</t>
        </is>
      </c>
      <c r="T94" s="29" t="inlineStr">
        <is>
          <t>State</t>
        </is>
      </c>
      <c r="U94" s="29" t="inlineStr">
        <is>
          <t>Public Records Request</t>
        </is>
      </c>
      <c r="X94" s="19" t="inlineStr">
        <is>
          <t>A</t>
        </is>
      </c>
      <c r="Y94" s="19" t="n">
        <v>77.5</v>
      </c>
      <c r="Z94" s="44" t="n">
        <v>0.875</v>
      </c>
      <c r="AA94" s="51" t="n">
        <v>0.8149999999999999</v>
      </c>
      <c r="AB94" s="49" t="n">
        <v>2</v>
      </c>
      <c r="AC94" s="19" t="inlineStr">
        <is>
          <t>Expansion</t>
        </is>
      </c>
      <c r="AD94" s="19" t="n">
        <v>0.8</v>
      </c>
      <c r="AE94" s="19" t="inlineStr">
        <is>
          <t>reported</t>
        </is>
      </c>
    </row>
    <row r="95" ht="15" customHeight="1" s="20">
      <c r="A95" s="29" t="inlineStr">
        <is>
          <t>Georgia Environmental Protection Division</t>
        </is>
      </c>
      <c r="B95" s="29" t="inlineStr">
        <is>
          <t>Georgia</t>
        </is>
      </c>
      <c r="C95" s="29" t="inlineStr">
        <is>
          <t>GA</t>
        </is>
      </c>
      <c r="D95" s="29" t="inlineStr">
        <is>
          <t>State</t>
        </is>
      </c>
      <c r="E95" s="29" t="inlineStr">
        <is>
          <t>Sarah Duncan</t>
        </is>
      </c>
      <c r="F95" s="29" t="inlineStr">
        <is>
          <t>Andy O'Brien</t>
        </is>
      </c>
      <c r="G95" s="39" t="inlineStr">
        <is>
          <t>Taylor Roman</t>
        </is>
      </c>
      <c r="H95" s="29">
        <f>IF(F95="(not in WIP)","New to Enterprise",IF(F95=G95,"No","Yes"))</f>
        <v/>
      </c>
      <c r="I95" s="29">
        <f>IFERROR(INDEX(Lookups!$B$2:$B$14,MATCH(G95,Lookups!$A$2:$A$14,0)),"Not found")</f>
        <v/>
      </c>
      <c r="J95" s="29">
        <f>IFERROR(INDEX(Lookups!$E$2:$E$14,MATCH(G95,Lookups!$A$2:$A$14,0)),"")</f>
        <v/>
      </c>
      <c r="K95" s="39" t="inlineStr">
        <is>
          <t>ET</t>
        </is>
      </c>
      <c r="L95" s="29">
        <f>IF(J95="n/a","n/a",IFERROR(IF(ABS(INDEX(Lookups!$H$2:$H$5,MATCH(J95,Lookups!$G$2:$G$5,0))-INDEX(Lookups!$H$2:$H$5,MATCH(K95,Lookups!$G$2:$G$5,0)))&lt;=1,"Yes","No"),"Check"))</f>
        <v/>
      </c>
      <c r="M95" s="43" t="n">
        <v>24946.5</v>
      </c>
      <c r="N95" s="29" t="inlineStr">
        <is>
          <t>Yes</t>
        </is>
      </c>
      <c r="O95" s="39" t="n">
        <v>3</v>
      </c>
      <c r="P95" s="27" t="n"/>
      <c r="Q95" s="29">
        <f>IF(N95&lt;&gt;"Yes","n/a",IF(OR(AND(O95&lt;&gt;"",O95&gt;$W$1),P95="Y"),"Yes",IF(O95&lt;&gt;"","No","Pending")))</f>
        <v/>
      </c>
      <c r="R95" s="29" t="n"/>
      <c r="S95" s="29" t="inlineStr">
        <is>
          <t>Marcy Castro</t>
        </is>
      </c>
      <c r="T95" s="29" t="inlineStr">
        <is>
          <t>State</t>
        </is>
      </c>
      <c r="U95" s="29" t="inlineStr">
        <is>
          <t>Email &amp; SMS, Engagement &amp; Sentiment, Recurring Services</t>
        </is>
      </c>
      <c r="X95" s="19" t="inlineStr">
        <is>
          <t>A</t>
        </is>
      </c>
      <c r="Y95" s="19" t="n">
        <v>77.5</v>
      </c>
      <c r="Z95" s="44" t="n">
        <v>0.625</v>
      </c>
      <c r="AA95" s="51" t="n">
        <v>0.715</v>
      </c>
      <c r="AB95" s="49" t="n">
        <v>2</v>
      </c>
      <c r="AC95" s="19" t="inlineStr">
        <is>
          <t>Expansion</t>
        </is>
      </c>
      <c r="AD95" s="19" t="n">
        <v>0.8</v>
      </c>
      <c r="AE95" s="19" t="inlineStr">
        <is>
          <t>reported</t>
        </is>
      </c>
    </row>
    <row r="96" ht="15" customHeight="1" s="20">
      <c r="A96" s="29" t="inlineStr">
        <is>
          <t>Cook County, IL</t>
        </is>
      </c>
      <c r="B96" s="29" t="inlineStr">
        <is>
          <t>Cook County, IL</t>
        </is>
      </c>
      <c r="C96" s="29" t="inlineStr">
        <is>
          <t>IL</t>
        </is>
      </c>
      <c r="D96" s="29" t="inlineStr">
        <is>
          <t>Local ENT</t>
        </is>
      </c>
      <c r="E96" s="29" t="inlineStr">
        <is>
          <t>Kent Hartsfield</t>
        </is>
      </c>
      <c r="F96" s="29" t="inlineStr">
        <is>
          <t>Steffany Amador</t>
        </is>
      </c>
      <c r="G96" s="39" t="inlineStr">
        <is>
          <t>Marcy Castro</t>
        </is>
      </c>
      <c r="H96" s="29">
        <f>IF(F96="(not in WIP)","New to Enterprise",IF(F96=G96,"No","Yes"))</f>
        <v/>
      </c>
      <c r="I96" s="29">
        <f>IFERROR(INDEX(Lookups!$B$2:$B$14,MATCH(G96,Lookups!$A$2:$A$14,0)),"Not found")</f>
        <v/>
      </c>
      <c r="J96" s="29">
        <f>IFERROR(INDEX(Lookups!$E$2:$E$14,MATCH(G96,Lookups!$A$2:$A$14,0)),"")</f>
        <v/>
      </c>
      <c r="K96" s="39" t="inlineStr">
        <is>
          <t>CT</t>
        </is>
      </c>
      <c r="L96" s="29">
        <f>IF(J96="n/a","n/a",IFERROR(IF(ABS(INDEX(Lookups!$H$2:$H$5,MATCH(J96,Lookups!$G$2:$G$5,0))-INDEX(Lookups!$H$2:$H$5,MATCH(K96,Lookups!$G$2:$G$5,0)))&lt;=1,"Yes","No"),"Check"))</f>
        <v/>
      </c>
      <c r="M96" s="43" t="n">
        <v>1110948.16</v>
      </c>
      <c r="N96" s="29" t="inlineStr">
        <is>
          <t>Yes</t>
        </is>
      </c>
      <c r="O96" s="39" t="n">
        <v>3</v>
      </c>
      <c r="P96" s="27" t="n"/>
      <c r="Q96" s="29">
        <f>IF(N96&lt;&gt;"Yes","n/a",IF(OR(AND(O96&lt;&gt;"",O96&gt;$W$1),P96="Y"),"Yes",IF(O96&lt;&gt;"","No","Pending")))</f>
        <v/>
      </c>
      <c r="R96" s="29" t="inlineStr">
        <is>
          <t>Cook County: modeled as Chicago SAM; either way it lands with Kent Hartsfield</t>
        </is>
      </c>
      <c r="S96" s="29" t="inlineStr">
        <is>
          <t>Steffany Amador</t>
        </is>
      </c>
      <c r="T96" s="29" t="inlineStr">
        <is>
          <t>Local ENT</t>
        </is>
      </c>
      <c r="U96" s="29" t="inlineStr">
        <is>
          <t>Agenda &amp; Video, Email &amp; SMS, Public Records Request</t>
        </is>
      </c>
      <c r="X96" s="19" t="inlineStr">
        <is>
          <t>C</t>
        </is>
      </c>
      <c r="Y96" s="19" t="n">
        <v>40</v>
      </c>
      <c r="Z96" s="44" t="n">
        <v>0.625</v>
      </c>
      <c r="AA96" s="51" t="n">
        <v>0.49</v>
      </c>
      <c r="AB96" s="46" t="n">
        <v>3</v>
      </c>
      <c r="AC96" s="19" t="inlineStr">
        <is>
          <t>Defend</t>
        </is>
      </c>
      <c r="AD96" s="19" t="n">
        <v>0.5</v>
      </c>
      <c r="AE96" s="19" t="inlineStr">
        <is>
          <t>reported</t>
        </is>
      </c>
    </row>
    <row r="97" ht="15" customHeight="1" s="20">
      <c r="A97" s="29" t="inlineStr">
        <is>
          <t>Lake County IL</t>
        </is>
      </c>
      <c r="B97" s="29" t="inlineStr">
        <is>
          <t>Lake County IL</t>
        </is>
      </c>
      <c r="C97" s="29" t="inlineStr">
        <is>
          <t>IL</t>
        </is>
      </c>
      <c r="D97" s="29" t="inlineStr">
        <is>
          <t>Local ENT</t>
        </is>
      </c>
      <c r="E97" s="29" t="inlineStr">
        <is>
          <t>Kent Hartsfield</t>
        </is>
      </c>
      <c r="F97" s="29" t="inlineStr">
        <is>
          <t>Steffany Amador</t>
        </is>
      </c>
      <c r="G97" s="39" t="inlineStr">
        <is>
          <t>Marcy Castro</t>
        </is>
      </c>
      <c r="H97" s="29">
        <f>IF(F97="(not in WIP)","New to Enterprise",IF(F97=G97,"No","Yes"))</f>
        <v/>
      </c>
      <c r="I97" s="29">
        <f>IFERROR(INDEX(Lookups!$B$2:$B$14,MATCH(G97,Lookups!$A$2:$A$14,0)),"Not found")</f>
        <v/>
      </c>
      <c r="J97" s="29">
        <f>IFERROR(INDEX(Lookups!$E$2:$E$14,MATCH(G97,Lookups!$A$2:$A$14,0)),"")</f>
        <v/>
      </c>
      <c r="K97" s="39" t="inlineStr">
        <is>
          <t>CT</t>
        </is>
      </c>
      <c r="L97" s="29">
        <f>IF(J97="n/a","n/a",IFERROR(IF(ABS(INDEX(Lookups!$H$2:$H$5,MATCH(J97,Lookups!$G$2:$G$5,0))-INDEX(Lookups!$H$2:$H$5,MATCH(K97,Lookups!$G$2:$G$5,0)))&lt;=1,"Yes","No"),"Check"))</f>
        <v/>
      </c>
      <c r="M97" s="43" t="n">
        <v>185771.15</v>
      </c>
      <c r="N97" s="29" t="inlineStr">
        <is>
          <t>Yes</t>
        </is>
      </c>
      <c r="O97" s="39" t="n">
        <v>5</v>
      </c>
      <c r="P97" s="27" t="n"/>
      <c r="Q97" s="29">
        <f>IF(N97&lt;&gt;"Yes","n/a",IF(OR(AND(O97&lt;&gt;"",O97&gt;$W$1),P97="Y"),"Yes",IF(O97&lt;&gt;"","No","Pending")))</f>
        <v/>
      </c>
      <c r="R97" s="29" t="n"/>
      <c r="S97" s="29" t="inlineStr">
        <is>
          <t>Natalia Sanchez</t>
        </is>
      </c>
      <c r="T97" s="29" t="inlineStr">
        <is>
          <t>Local ENT</t>
        </is>
      </c>
      <c r="U97" s="29" t="inlineStr">
        <is>
          <t>Agenda &amp; Video, Email &amp; SMS, Engagement &amp; Sentiment, Public Records Request, Recurring Services</t>
        </is>
      </c>
      <c r="X97" s="19" t="inlineStr">
        <is>
          <t>C</t>
        </is>
      </c>
      <c r="Y97" s="19" t="n">
        <v>40</v>
      </c>
      <c r="Z97" s="44" t="n">
        <v>0.375</v>
      </c>
      <c r="AA97" s="51" t="n">
        <v>0.39</v>
      </c>
      <c r="AB97" s="46" t="n">
        <v>3</v>
      </c>
      <c r="AC97" s="19" t="inlineStr">
        <is>
          <t>Defend</t>
        </is>
      </c>
      <c r="AD97" s="19" t="n">
        <v>0.5</v>
      </c>
      <c r="AE97" s="19" t="inlineStr">
        <is>
          <t>reported</t>
        </is>
      </c>
    </row>
    <row r="98" ht="15" customHeight="1" s="20">
      <c r="A98" s="29" t="inlineStr">
        <is>
          <t>Chicago Metropolitan Agency for Planning</t>
        </is>
      </c>
      <c r="B98" s="29" t="inlineStr">
        <is>
          <t>Chicago Metropolitan Agency for Planning</t>
        </is>
      </c>
      <c r="C98" s="29" t="inlineStr">
        <is>
          <t>IL</t>
        </is>
      </c>
      <c r="D98" s="29" t="inlineStr">
        <is>
          <t>Local ENT</t>
        </is>
      </c>
      <c r="E98" s="29" t="inlineStr">
        <is>
          <t>Kent Hartsfield</t>
        </is>
      </c>
      <c r="F98" s="29" t="inlineStr">
        <is>
          <t>Steffany Amador</t>
        </is>
      </c>
      <c r="G98" s="39" t="inlineStr">
        <is>
          <t>Marcy Castro</t>
        </is>
      </c>
      <c r="H98" s="29">
        <f>IF(F98="(not in WIP)","New to Enterprise",IF(F98=G98,"No","Yes"))</f>
        <v/>
      </c>
      <c r="I98" s="29">
        <f>IFERROR(INDEX(Lookups!$B$2:$B$14,MATCH(G98,Lookups!$A$2:$A$14,0)),"Not found")</f>
        <v/>
      </c>
      <c r="J98" s="29">
        <f>IFERROR(INDEX(Lookups!$E$2:$E$14,MATCH(G98,Lookups!$A$2:$A$14,0)),"")</f>
        <v/>
      </c>
      <c r="K98" s="39" t="inlineStr">
        <is>
          <t>CT</t>
        </is>
      </c>
      <c r="L98" s="29">
        <f>IF(J98="n/a","n/a",IFERROR(IF(ABS(INDEX(Lookups!$H$2:$H$5,MATCH(J98,Lookups!$G$2:$G$5,0))-INDEX(Lookups!$H$2:$H$5,MATCH(K98,Lookups!$G$2:$G$5,0)))&lt;=1,"Yes","No"),"Check"))</f>
        <v/>
      </c>
      <c r="M98" s="43" t="n">
        <v>91016.97</v>
      </c>
      <c r="N98" s="29" t="inlineStr">
        <is>
          <t>Yes</t>
        </is>
      </c>
      <c r="O98" s="39" t="n">
        <v>4</v>
      </c>
      <c r="P98" s="27" t="n"/>
      <c r="Q98" s="29">
        <f>IF(N98&lt;&gt;"Yes","n/a",IF(OR(AND(O98&lt;&gt;"",O98&gt;$W$1),P98="Y"),"Yes",IF(O98&lt;&gt;"","No","Pending")))</f>
        <v/>
      </c>
      <c r="R98" s="29" t="n"/>
      <c r="S98" s="29" t="inlineStr">
        <is>
          <t>Carolina Cambronero</t>
        </is>
      </c>
      <c r="T98" s="29" t="inlineStr">
        <is>
          <t>Local ENT</t>
        </is>
      </c>
      <c r="U98" s="29" t="inlineStr">
        <is>
          <t>Agenda &amp; Video, Email &amp; SMS, Engagement &amp; Sentiment, Recurring Services</t>
        </is>
      </c>
      <c r="X98" s="19" t="inlineStr">
        <is>
          <t>C</t>
        </is>
      </c>
      <c r="Y98" s="19" t="n">
        <v>40</v>
      </c>
      <c r="Z98" s="44" t="n">
        <v>0.5</v>
      </c>
      <c r="AA98" s="51" t="n">
        <v>0.44</v>
      </c>
      <c r="AB98" s="47" t="n">
        <v>4</v>
      </c>
      <c r="AC98" s="19" t="inlineStr">
        <is>
          <t>Maintain</t>
        </is>
      </c>
      <c r="AD98" s="19" t="n">
        <v>0.3</v>
      </c>
      <c r="AE98" s="19" t="inlineStr">
        <is>
          <t>reported</t>
        </is>
      </c>
    </row>
    <row r="99" ht="15" customHeight="1" s="20">
      <c r="A99" s="29" t="inlineStr">
        <is>
          <t>Illinois Department of Financial and Professional Regulation</t>
        </is>
      </c>
      <c r="B99" s="29" t="inlineStr">
        <is>
          <t>Illinois</t>
        </is>
      </c>
      <c r="C99" s="29" t="inlineStr">
        <is>
          <t>IL</t>
        </is>
      </c>
      <c r="D99" s="29" t="inlineStr">
        <is>
          <t>State</t>
        </is>
      </c>
      <c r="E99" s="29" t="inlineStr">
        <is>
          <t>Bill Pintsak</t>
        </is>
      </c>
      <c r="F99" s="29" t="inlineStr">
        <is>
          <t>Steffany Amador</t>
        </is>
      </c>
      <c r="G99" s="39" t="inlineStr">
        <is>
          <t>Marcy Castro</t>
        </is>
      </c>
      <c r="H99" s="29">
        <f>IF(F99="(not in WIP)","New to Enterprise",IF(F99=G99,"No","Yes"))</f>
        <v/>
      </c>
      <c r="I99" s="29">
        <f>IFERROR(INDEX(Lookups!$B$2:$B$14,MATCH(G99,Lookups!$A$2:$A$14,0)),"Not found")</f>
        <v/>
      </c>
      <c r="J99" s="29">
        <f>IFERROR(INDEX(Lookups!$E$2:$E$14,MATCH(G99,Lookups!$A$2:$A$14,0)),"")</f>
        <v/>
      </c>
      <c r="K99" s="39" t="inlineStr">
        <is>
          <t>CT</t>
        </is>
      </c>
      <c r="L99" s="29">
        <f>IF(J99="n/a","n/a",IFERROR(IF(ABS(INDEX(Lookups!$H$2:$H$5,MATCH(J99,Lookups!$G$2:$G$5,0))-INDEX(Lookups!$H$2:$H$5,MATCH(K99,Lookups!$G$2:$G$5,0)))&lt;=1,"Yes","No"),"Check"))</f>
        <v/>
      </c>
      <c r="M99" s="43" t="n">
        <v>76183.63</v>
      </c>
      <c r="N99" s="29" t="inlineStr">
        <is>
          <t>Yes</t>
        </is>
      </c>
      <c r="O99" s="39" t="n">
        <v>3</v>
      </c>
      <c r="P99" s="27" t="n"/>
      <c r="Q99" s="29">
        <f>IF(N99&lt;&gt;"Yes","n/a",IF(OR(AND(O99&lt;&gt;"",O99&gt;$W$1),P99="Y"),"Yes",IF(O99&lt;&gt;"","No","Pending")))</f>
        <v/>
      </c>
      <c r="R99" s="29" t="n"/>
      <c r="S99" s="29" t="inlineStr">
        <is>
          <t>Kristen Murphy</t>
        </is>
      </c>
      <c r="T99" s="29" t="inlineStr">
        <is>
          <t>State</t>
        </is>
      </c>
      <c r="U99" s="29" t="inlineStr">
        <is>
          <t>Email &amp; SMS, Engagement &amp; Sentiment, Recurring Services</t>
        </is>
      </c>
      <c r="X99" s="19" t="inlineStr">
        <is>
          <t>B</t>
        </is>
      </c>
      <c r="Y99" s="19" t="n">
        <v>52.2</v>
      </c>
      <c r="Z99" s="44" t="n">
        <v>0.625</v>
      </c>
      <c r="AA99" s="51" t="n">
        <v>0.5632</v>
      </c>
      <c r="AB99" s="47" t="n">
        <v>4</v>
      </c>
      <c r="AC99" s="19" t="inlineStr">
        <is>
          <t>Maintain</t>
        </is>
      </c>
      <c r="AD99" s="19" t="n">
        <v>0.3</v>
      </c>
      <c r="AE99" s="19" t="inlineStr">
        <is>
          <t>reported</t>
        </is>
      </c>
    </row>
    <row r="100" ht="15" customHeight="1" s="20">
      <c r="A100" s="29" t="inlineStr">
        <is>
          <t>Lake County IN</t>
        </is>
      </c>
      <c r="B100" s="29" t="inlineStr">
        <is>
          <t>Lake County IN</t>
        </is>
      </c>
      <c r="C100" s="29" t="inlineStr">
        <is>
          <t>IN</t>
        </is>
      </c>
      <c r="D100" s="29" t="inlineStr">
        <is>
          <t>Local ENT</t>
        </is>
      </c>
      <c r="E100" s="29" t="inlineStr">
        <is>
          <t>Kent Hartsfield</t>
        </is>
      </c>
      <c r="F100" s="29" t="inlineStr">
        <is>
          <t>Brooke Minichino</t>
        </is>
      </c>
      <c r="G100" s="39" t="inlineStr">
        <is>
          <t>Marcy Castro</t>
        </is>
      </c>
      <c r="H100" s="29">
        <f>IF(F100="(not in WIP)","New to Enterprise",IF(F100=G100,"No","Yes"))</f>
        <v/>
      </c>
      <c r="I100" s="29">
        <f>IFERROR(INDEX(Lookups!$B$2:$B$14,MATCH(G100,Lookups!$A$2:$A$14,0)),"Not found")</f>
        <v/>
      </c>
      <c r="J100" s="29">
        <f>IFERROR(INDEX(Lookups!$E$2:$E$14,MATCH(G100,Lookups!$A$2:$A$14,0)),"")</f>
        <v/>
      </c>
      <c r="K100" s="39" t="inlineStr">
        <is>
          <t>ET</t>
        </is>
      </c>
      <c r="L100" s="29">
        <f>IF(J100="n/a","n/a",IFERROR(IF(ABS(INDEX(Lookups!$H$2:$H$5,MATCH(J100,Lookups!$G$2:$G$5,0))-INDEX(Lookups!$H$2:$H$5,MATCH(K100,Lookups!$G$2:$G$5,0)))&lt;=1,"Yes","No"),"Check"))</f>
        <v/>
      </c>
      <c r="M100" s="43" t="n">
        <v>70971.57000000001</v>
      </c>
      <c r="N100" s="29" t="inlineStr">
        <is>
          <t>Yes</t>
        </is>
      </c>
      <c r="O100" s="39" t="n">
        <v>2</v>
      </c>
      <c r="P100" s="27" t="n"/>
      <c r="Q100" s="29">
        <f>IF(N100&lt;&gt;"Yes","n/a",IF(OR(AND(O100&lt;&gt;"",O100&gt;$W$1),P100="Y"),"Yes",IF(O100&lt;&gt;"","No","Pending")))</f>
        <v/>
      </c>
      <c r="R100" s="29" t="n"/>
      <c r="S100" s="29" t="inlineStr">
        <is>
          <t>Alejandro Solano</t>
        </is>
      </c>
      <c r="T100" s="29" t="inlineStr">
        <is>
          <t>Local ENT</t>
        </is>
      </c>
      <c r="U100" s="29" t="inlineStr">
        <is>
          <t>Agenda &amp; Video, Email &amp; SMS</t>
        </is>
      </c>
      <c r="X100" s="19" t="inlineStr">
        <is>
          <t>A</t>
        </is>
      </c>
      <c r="Y100" s="19" t="n">
        <v>63.7</v>
      </c>
      <c r="Z100" s="44" t="n">
        <v>0.75</v>
      </c>
      <c r="AA100" s="51" t="n">
        <v>0.6822</v>
      </c>
      <c r="AB100" s="49" t="n">
        <v>2</v>
      </c>
      <c r="AC100" s="19" t="inlineStr">
        <is>
          <t>Expansion</t>
        </is>
      </c>
      <c r="AD100" s="19" t="n">
        <v>0.8</v>
      </c>
      <c r="AE100" s="19" t="inlineStr">
        <is>
          <t>reported</t>
        </is>
      </c>
    </row>
    <row r="101" ht="15" customHeight="1" s="20">
      <c r="A101" s="29" t="inlineStr">
        <is>
          <t>Jackson County MO</t>
        </is>
      </c>
      <c r="B101" s="29" t="inlineStr">
        <is>
          <t>Jackson County MO</t>
        </is>
      </c>
      <c r="C101" s="29" t="inlineStr">
        <is>
          <t>MO</t>
        </is>
      </c>
      <c r="D101" s="29" t="inlineStr">
        <is>
          <t>Local ENT</t>
        </is>
      </c>
      <c r="E101" s="29" t="inlineStr">
        <is>
          <t>David Cliff</t>
        </is>
      </c>
      <c r="F101" s="29" t="inlineStr">
        <is>
          <t>Marcy Castro</t>
        </is>
      </c>
      <c r="G101" s="39" t="inlineStr">
        <is>
          <t>Marcy Castro</t>
        </is>
      </c>
      <c r="H101" s="29">
        <f>IF(F101="(not in WIP)","New to Enterprise",IF(F101=G101,"No","Yes"))</f>
        <v/>
      </c>
      <c r="I101" s="29">
        <f>IFERROR(INDEX(Lookups!$B$2:$B$14,MATCH(G101,Lookups!$A$2:$A$14,0)),"Not found")</f>
        <v/>
      </c>
      <c r="J101" s="29">
        <f>IFERROR(INDEX(Lookups!$E$2:$E$14,MATCH(G101,Lookups!$A$2:$A$14,0)),"")</f>
        <v/>
      </c>
      <c r="K101" s="39" t="inlineStr">
        <is>
          <t>CT</t>
        </is>
      </c>
      <c r="L101" s="29">
        <f>IF(J101="n/a","n/a",IFERROR(IF(ABS(INDEX(Lookups!$H$2:$H$5,MATCH(J101,Lookups!$G$2:$G$5,0))-INDEX(Lookups!$H$2:$H$5,MATCH(K101,Lookups!$G$2:$G$5,0)))&lt;=1,"Yes","No"),"Check"))</f>
        <v/>
      </c>
      <c r="M101" s="43" t="n">
        <v>521351.74</v>
      </c>
      <c r="N101" s="29" t="inlineStr">
        <is>
          <t>Yes</t>
        </is>
      </c>
      <c r="O101" s="39" t="n">
        <v>9</v>
      </c>
      <c r="P101" s="27" t="n"/>
      <c r="Q101" s="29">
        <f>IF(N101&lt;&gt;"Yes","n/a",IF(OR(AND(O101&lt;&gt;"",O101&gt;$W$1),P101="Y"),"Yes",IF(O101&lt;&gt;"","No","Pending")))</f>
        <v/>
      </c>
      <c r="R101" s="29" t="n"/>
      <c r="S101" s="29" t="inlineStr">
        <is>
          <t>Carolina Cambronero</t>
        </is>
      </c>
      <c r="T101" s="29" t="inlineStr">
        <is>
          <t>Local ENT</t>
        </is>
      </c>
      <c r="U101" s="29" t="inlineStr">
        <is>
          <t>Agenda &amp; Video, Channel Shift, Email &amp; SMS, Engagement &amp; Sentiment, Experience Agents, Forms &amp; Workflows, Public Records Request, Recurring Services, Websites, Portals, &amp; Intranets</t>
        </is>
      </c>
      <c r="X101" s="19" t="inlineStr">
        <is>
          <t>C</t>
        </is>
      </c>
      <c r="Y101" s="19" t="n">
        <v>41.9</v>
      </c>
      <c r="Z101" s="44" t="n">
        <v>0</v>
      </c>
      <c r="AA101" s="51" t="n">
        <v>0.2514</v>
      </c>
      <c r="AB101" s="46" t="n">
        <v>3</v>
      </c>
      <c r="AC101" s="19" t="inlineStr">
        <is>
          <t>Defend</t>
        </is>
      </c>
      <c r="AD101" s="19" t="n">
        <v>0.5</v>
      </c>
      <c r="AE101" s="19" t="inlineStr">
        <is>
          <t>reported</t>
        </is>
      </c>
    </row>
    <row r="102" ht="15" customHeight="1" s="20">
      <c r="A102" s="29" t="inlineStr">
        <is>
          <t>Kansas City, MO, Police Department</t>
        </is>
      </c>
      <c r="B102" s="29" t="inlineStr">
        <is>
          <t>Kansas City, MO</t>
        </is>
      </c>
      <c r="C102" s="29" t="inlineStr">
        <is>
          <t>MO</t>
        </is>
      </c>
      <c r="D102" s="29" t="inlineStr">
        <is>
          <t>Local ENT</t>
        </is>
      </c>
      <c r="E102" s="29" t="inlineStr">
        <is>
          <t>David Cliff</t>
        </is>
      </c>
      <c r="F102" s="29" t="inlineStr">
        <is>
          <t>Marcy Castro</t>
        </is>
      </c>
      <c r="G102" s="39" t="inlineStr">
        <is>
          <t>Marcy Castro</t>
        </is>
      </c>
      <c r="H102" s="29">
        <f>IF(F102="(not in WIP)","New to Enterprise",IF(F102=G102,"No","Yes"))</f>
        <v/>
      </c>
      <c r="I102" s="29">
        <f>IFERROR(INDEX(Lookups!$B$2:$B$14,MATCH(G102,Lookups!$A$2:$A$14,0)),"Not found")</f>
        <v/>
      </c>
      <c r="J102" s="29">
        <f>IFERROR(INDEX(Lookups!$E$2:$E$14,MATCH(G102,Lookups!$A$2:$A$14,0)),"")</f>
        <v/>
      </c>
      <c r="K102" s="39" t="inlineStr">
        <is>
          <t>CT</t>
        </is>
      </c>
      <c r="L102" s="29">
        <f>IF(J102="n/a","n/a",IFERROR(IF(ABS(INDEX(Lookups!$H$2:$H$5,MATCH(J102,Lookups!$G$2:$G$5,0))-INDEX(Lookups!$H$2:$H$5,MATCH(K102,Lookups!$G$2:$G$5,0)))&lt;=1,"Yes","No"),"Check"))</f>
        <v/>
      </c>
      <c r="M102" s="43" t="n">
        <v>139405.59</v>
      </c>
      <c r="N102" s="29" t="inlineStr">
        <is>
          <t>Yes</t>
        </is>
      </c>
      <c r="O102" s="39" t="n">
        <v>1</v>
      </c>
      <c r="P102" s="27" t="n"/>
      <c r="Q102" s="29">
        <f>IF(N102&lt;&gt;"Yes","n/a",IF(OR(AND(O102&lt;&gt;"",O102&gt;$W$1),P102="Y"),"Yes",IF(O102&lt;&gt;"","No","Pending")))</f>
        <v/>
      </c>
      <c r="R102" s="29" t="n"/>
      <c r="S102" s="29" t="inlineStr">
        <is>
          <t>Carolina Cambronero</t>
        </is>
      </c>
      <c r="T102" s="29" t="inlineStr">
        <is>
          <t>Local ENT</t>
        </is>
      </c>
      <c r="U102" s="29" t="inlineStr">
        <is>
          <t>Public Records Request</t>
        </is>
      </c>
      <c r="X102" s="19" t="inlineStr">
        <is>
          <t>C</t>
        </is>
      </c>
      <c r="Y102" s="19" t="n">
        <v>41.9</v>
      </c>
      <c r="Z102" s="44" t="n">
        <v>0.875</v>
      </c>
      <c r="AA102" s="51" t="n">
        <v>0.6014</v>
      </c>
      <c r="AB102" s="48" t="n">
        <v>1</v>
      </c>
      <c r="AC102" s="19" t="inlineStr">
        <is>
          <t>Growth engine</t>
        </is>
      </c>
      <c r="AD102" s="19" t="n">
        <v>1</v>
      </c>
      <c r="AE102" s="19" t="inlineStr">
        <is>
          <t>reported</t>
        </is>
      </c>
    </row>
    <row r="103" ht="15" customHeight="1" s="20">
      <c r="A103" s="29" t="inlineStr">
        <is>
          <t>Missouri Department of Elementary and Secondary Education</t>
        </is>
      </c>
      <c r="B103" s="29" t="inlineStr">
        <is>
          <t>Missouri</t>
        </is>
      </c>
      <c r="C103" s="29" t="inlineStr">
        <is>
          <t>MO</t>
        </is>
      </c>
      <c r="D103" s="29" t="inlineStr">
        <is>
          <t>State</t>
        </is>
      </c>
      <c r="E103" s="29" t="inlineStr">
        <is>
          <t>Bill Pintsak</t>
        </is>
      </c>
      <c r="F103" s="29" t="inlineStr">
        <is>
          <t>Marcy Castro</t>
        </is>
      </c>
      <c r="G103" s="39" t="inlineStr">
        <is>
          <t>Marcy Castro</t>
        </is>
      </c>
      <c r="H103" s="29">
        <f>IF(F103="(not in WIP)","New to Enterprise",IF(F103=G103,"No","Yes"))</f>
        <v/>
      </c>
      <c r="I103" s="29">
        <f>IFERROR(INDEX(Lookups!$B$2:$B$14,MATCH(G103,Lookups!$A$2:$A$14,0)),"Not found")</f>
        <v/>
      </c>
      <c r="J103" s="29">
        <f>IFERROR(INDEX(Lookups!$E$2:$E$14,MATCH(G103,Lookups!$A$2:$A$14,0)),"")</f>
        <v/>
      </c>
      <c r="K103" s="39" t="inlineStr">
        <is>
          <t>CT</t>
        </is>
      </c>
      <c r="L103" s="29">
        <f>IF(J103="n/a","n/a",IFERROR(IF(ABS(INDEX(Lookups!$H$2:$H$5,MATCH(J103,Lookups!$G$2:$G$5,0))-INDEX(Lookups!$H$2:$H$5,MATCH(K103,Lookups!$G$2:$G$5,0)))&lt;=1,"Yes","No"),"Check"))</f>
        <v/>
      </c>
      <c r="M103" s="43" t="n">
        <v>71337.62</v>
      </c>
      <c r="N103" s="29" t="inlineStr">
        <is>
          <t>Yes</t>
        </is>
      </c>
      <c r="O103" s="39" t="n">
        <v>3</v>
      </c>
      <c r="P103" s="27" t="n"/>
      <c r="Q103" s="29">
        <f>IF(N103&lt;&gt;"Yes","n/a",IF(OR(AND(O103&lt;&gt;"",O103&gt;$W$1),P103="Y"),"Yes",IF(O103&lt;&gt;"","No","Pending")))</f>
        <v/>
      </c>
      <c r="R103" s="29" t="n"/>
      <c r="S103" s="29" t="inlineStr">
        <is>
          <t>Natalia Sanchez</t>
        </is>
      </c>
      <c r="T103" s="29" t="inlineStr">
        <is>
          <t>State</t>
        </is>
      </c>
      <c r="U103" s="29" t="inlineStr">
        <is>
          <t>Email &amp; SMS, Engagement &amp; Sentiment, Recurring Services</t>
        </is>
      </c>
      <c r="X103" s="19" t="inlineStr">
        <is>
          <t>C</t>
        </is>
      </c>
      <c r="Y103" s="19" t="n">
        <v>42.3</v>
      </c>
      <c r="Z103" s="44" t="n">
        <v>0.625</v>
      </c>
      <c r="AA103" s="51" t="n">
        <v>0.5038</v>
      </c>
      <c r="AB103" s="47" t="n">
        <v>4</v>
      </c>
      <c r="AC103" s="19" t="inlineStr">
        <is>
          <t>Maintain</t>
        </is>
      </c>
      <c r="AD103" s="19" t="n">
        <v>0.3</v>
      </c>
      <c r="AE103" s="19" t="inlineStr">
        <is>
          <t>reported</t>
        </is>
      </c>
    </row>
    <row r="104" ht="15" customHeight="1" s="20">
      <c r="A104" s="29" t="inlineStr">
        <is>
          <t>Missouri State Treasurer</t>
        </is>
      </c>
      <c r="B104" s="29" t="inlineStr">
        <is>
          <t>Missouri</t>
        </is>
      </c>
      <c r="C104" s="29" t="inlineStr">
        <is>
          <t>MO</t>
        </is>
      </c>
      <c r="D104" s="29" t="inlineStr">
        <is>
          <t>State</t>
        </is>
      </c>
      <c r="E104" s="29" t="inlineStr">
        <is>
          <t>Bill Pintsak</t>
        </is>
      </c>
      <c r="F104" s="29" t="inlineStr">
        <is>
          <t>Marcy Castro</t>
        </is>
      </c>
      <c r="G104" s="39" t="inlineStr">
        <is>
          <t>Marcy Castro</t>
        </is>
      </c>
      <c r="H104" s="29">
        <f>IF(F104="(not in WIP)","New to Enterprise",IF(F104=G104,"No","Yes"))</f>
        <v/>
      </c>
      <c r="I104" s="29">
        <f>IFERROR(INDEX(Lookups!$B$2:$B$14,MATCH(G104,Lookups!$A$2:$A$14,0)),"Not found")</f>
        <v/>
      </c>
      <c r="J104" s="29">
        <f>IFERROR(INDEX(Lookups!$E$2:$E$14,MATCH(G104,Lookups!$A$2:$A$14,0)),"")</f>
        <v/>
      </c>
      <c r="K104" s="39" t="inlineStr">
        <is>
          <t>CT</t>
        </is>
      </c>
      <c r="L104" s="29">
        <f>IF(J104="n/a","n/a",IFERROR(IF(ABS(INDEX(Lookups!$H$2:$H$5,MATCH(J104,Lookups!$G$2:$G$5,0))-INDEX(Lookups!$H$2:$H$5,MATCH(K104,Lookups!$G$2:$G$5,0)))&lt;=1,"Yes","No"),"Check"))</f>
        <v/>
      </c>
      <c r="M104" s="43" t="n">
        <v>28547.35</v>
      </c>
      <c r="N104" s="29" t="inlineStr">
        <is>
          <t>Yes</t>
        </is>
      </c>
      <c r="O104" s="39" t="n">
        <v>3</v>
      </c>
      <c r="P104" s="27" t="n"/>
      <c r="Q104" s="29">
        <f>IF(N104&lt;&gt;"Yes","n/a",IF(OR(AND(O104&lt;&gt;"",O104&gt;$W$1),P104="Y"),"Yes",IF(O104&lt;&gt;"","No","Pending")))</f>
        <v/>
      </c>
      <c r="R104" s="29" t="n"/>
      <c r="S104" s="29" t="inlineStr">
        <is>
          <t>Kerrian Dailey</t>
        </is>
      </c>
      <c r="T104" s="29" t="inlineStr">
        <is>
          <t>State</t>
        </is>
      </c>
      <c r="U104" s="29" t="inlineStr">
        <is>
          <t>Email &amp; SMS, Engagement &amp; Sentiment, Recurring Services</t>
        </is>
      </c>
      <c r="X104" s="19" t="inlineStr">
        <is>
          <t>C</t>
        </is>
      </c>
      <c r="Y104" s="19" t="n">
        <v>42.3</v>
      </c>
      <c r="Z104" s="44" t="n">
        <v>0.625</v>
      </c>
      <c r="AA104" s="51" t="n">
        <v>0.5038</v>
      </c>
      <c r="AB104" s="47" t="n">
        <v>4</v>
      </c>
      <c r="AC104" s="19" t="inlineStr">
        <is>
          <t>Maintain</t>
        </is>
      </c>
      <c r="AD104" s="19" t="n">
        <v>0.3</v>
      </c>
      <c r="AE104" s="19" t="inlineStr">
        <is>
          <t>reported</t>
        </is>
      </c>
    </row>
    <row r="105" ht="15" customHeight="1" s="20">
      <c r="A105" s="29" t="inlineStr">
        <is>
          <t>Missouri Public Service Commission</t>
        </is>
      </c>
      <c r="B105" s="29" t="inlineStr">
        <is>
          <t>Missouri</t>
        </is>
      </c>
      <c r="C105" s="29" t="inlineStr">
        <is>
          <t>MO</t>
        </is>
      </c>
      <c r="D105" s="29" t="inlineStr">
        <is>
          <t>State</t>
        </is>
      </c>
      <c r="E105" s="29" t="inlineStr">
        <is>
          <t>Bill Pintsak</t>
        </is>
      </c>
      <c r="F105" s="29" t="inlineStr">
        <is>
          <t>Marcy Castro</t>
        </is>
      </c>
      <c r="G105" s="39" t="inlineStr">
        <is>
          <t>Marcy Castro</t>
        </is>
      </c>
      <c r="H105" s="29">
        <f>IF(F105="(not in WIP)","New to Enterprise",IF(F105=G105,"No","Yes"))</f>
        <v/>
      </c>
      <c r="I105" s="29">
        <f>IFERROR(INDEX(Lookups!$B$2:$B$14,MATCH(G105,Lookups!$A$2:$A$14,0)),"Not found")</f>
        <v/>
      </c>
      <c r="J105" s="29">
        <f>IFERROR(INDEX(Lookups!$E$2:$E$14,MATCH(G105,Lookups!$A$2:$A$14,0)),"")</f>
        <v/>
      </c>
      <c r="K105" s="39" t="inlineStr">
        <is>
          <t>CT</t>
        </is>
      </c>
      <c r="L105" s="29">
        <f>IF(J105="n/a","n/a",IFERROR(IF(ABS(INDEX(Lookups!$H$2:$H$5,MATCH(J105,Lookups!$G$2:$G$5,0))-INDEX(Lookups!$H$2:$H$5,MATCH(K105,Lookups!$G$2:$G$5,0)))&lt;=1,"Yes","No"),"Check"))</f>
        <v/>
      </c>
      <c r="M105" s="43" t="n">
        <v>26823.83</v>
      </c>
      <c r="N105" s="29" t="inlineStr">
        <is>
          <t>Yes</t>
        </is>
      </c>
      <c r="O105" s="39" t="n">
        <v>3</v>
      </c>
      <c r="P105" s="27" t="n"/>
      <c r="Q105" s="29">
        <f>IF(N105&lt;&gt;"Yes","n/a",IF(OR(AND(O105&lt;&gt;"",O105&gt;$W$1),P105="Y"),"Yes",IF(O105&lt;&gt;"","No","Pending")))</f>
        <v/>
      </c>
      <c r="R105" s="29" t="n"/>
      <c r="S105" s="29" t="inlineStr">
        <is>
          <t>Kristen Murphy</t>
        </is>
      </c>
      <c r="T105" s="29" t="inlineStr">
        <is>
          <t>State</t>
        </is>
      </c>
      <c r="U105" s="29" t="inlineStr">
        <is>
          <t>Email &amp; SMS, Engagement &amp; Sentiment, Recurring Services</t>
        </is>
      </c>
      <c r="X105" s="19" t="inlineStr">
        <is>
          <t>C</t>
        </is>
      </c>
      <c r="Y105" s="19" t="n">
        <v>42.3</v>
      </c>
      <c r="Z105" s="44" t="n">
        <v>0.625</v>
      </c>
      <c r="AA105" s="51" t="n">
        <v>0.5038</v>
      </c>
      <c r="AB105" s="47" t="n">
        <v>4</v>
      </c>
      <c r="AC105" s="19" t="inlineStr">
        <is>
          <t>Maintain</t>
        </is>
      </c>
      <c r="AD105" s="19" t="n">
        <v>0.3</v>
      </c>
      <c r="AE105" s="19" t="inlineStr">
        <is>
          <t>reported</t>
        </is>
      </c>
    </row>
    <row r="106" ht="15" customHeight="1" s="20">
      <c r="A106" s="29" t="inlineStr">
        <is>
          <t>DOTComm (Douglas Omaha Technology Commission)</t>
        </is>
      </c>
      <c r="B106" s="29" t="inlineStr">
        <is>
          <t>Douglas County, NE</t>
        </is>
      </c>
      <c r="C106" s="29" t="inlineStr">
        <is>
          <t>NE</t>
        </is>
      </c>
      <c r="D106" s="29" t="inlineStr">
        <is>
          <t>Local ENT</t>
        </is>
      </c>
      <c r="E106" s="29" t="inlineStr">
        <is>
          <t>David Cliff</t>
        </is>
      </c>
      <c r="F106" s="29" t="inlineStr">
        <is>
          <t>(not in WIP)</t>
        </is>
      </c>
      <c r="G106" s="39" t="inlineStr">
        <is>
          <t>Marcy Castro</t>
        </is>
      </c>
      <c r="H106" s="29">
        <f>IF(F106="(not in WIP)","New to Enterprise",IF(F106=G106,"No","Yes"))</f>
        <v/>
      </c>
      <c r="I106" s="29">
        <f>IFERROR(INDEX(Lookups!$B$2:$B$14,MATCH(G106,Lookups!$A$2:$A$14,0)),"Not found")</f>
        <v/>
      </c>
      <c r="J106" s="29">
        <f>IFERROR(INDEX(Lookups!$E$2:$E$14,MATCH(G106,Lookups!$A$2:$A$14,0)),"")</f>
        <v/>
      </c>
      <c r="K106" s="39" t="inlineStr">
        <is>
          <t>CT</t>
        </is>
      </c>
      <c r="L106" s="29">
        <f>IF(J106="n/a","n/a",IFERROR(IF(ABS(INDEX(Lookups!$H$2:$H$5,MATCH(J106,Lookups!$G$2:$G$5,0))-INDEX(Lookups!$H$2:$H$5,MATCH(K106,Lookups!$G$2:$G$5,0)))&lt;=1,"Yes","No"),"Check"))</f>
        <v/>
      </c>
      <c r="M106" s="43" t="n">
        <v>28683.16</v>
      </c>
      <c r="N106" s="29" t="inlineStr">
        <is>
          <t>Yes</t>
        </is>
      </c>
      <c r="O106" s="39" t="n">
        <v>1</v>
      </c>
      <c r="P106" s="27" t="n"/>
      <c r="Q106" s="29">
        <f>IF(N106&lt;&gt;"Yes","n/a",IF(OR(AND(O106&lt;&gt;"",O106&gt;$W$1),P106="Y"),"Yes",IF(O106&lt;&gt;"","No","Pending")))</f>
        <v/>
      </c>
      <c r="R106" s="29" t="n"/>
      <c r="S106" s="29" t="inlineStr">
        <is>
          <t>Carolina Cambronero</t>
        </is>
      </c>
      <c r="T106" s="29" t="inlineStr">
        <is>
          <t>Local ENT</t>
        </is>
      </c>
      <c r="U106" s="29" t="inlineStr">
        <is>
          <t>Public Records Request</t>
        </is>
      </c>
      <c r="X106" s="19" t="inlineStr">
        <is>
          <t>C</t>
        </is>
      </c>
      <c r="Y106" s="19" t="n">
        <v>42.8</v>
      </c>
      <c r="Z106" s="44" t="n">
        <v>0.875</v>
      </c>
      <c r="AA106" s="51" t="n">
        <v>0.6068</v>
      </c>
      <c r="AB106" s="49" t="n">
        <v>2</v>
      </c>
      <c r="AC106" s="19" t="inlineStr">
        <is>
          <t>Expansion</t>
        </is>
      </c>
      <c r="AD106" s="19" t="n">
        <v>0.8</v>
      </c>
      <c r="AE106" s="19" t="inlineStr">
        <is>
          <t>reported</t>
        </is>
      </c>
    </row>
    <row r="107" ht="15" customHeight="1" s="20">
      <c r="A107" s="29" t="inlineStr">
        <is>
          <t>Columbus OH</t>
        </is>
      </c>
      <c r="B107" s="29" t="inlineStr">
        <is>
          <t>Columbus OH</t>
        </is>
      </c>
      <c r="C107" s="29" t="inlineStr">
        <is>
          <t>OH</t>
        </is>
      </c>
      <c r="D107" s="29" t="inlineStr">
        <is>
          <t>Local ENT</t>
        </is>
      </c>
      <c r="E107" s="29" t="inlineStr">
        <is>
          <t>Kent Hartsfield</t>
        </is>
      </c>
      <c r="F107" s="29" t="inlineStr">
        <is>
          <t>Steffany Amador</t>
        </is>
      </c>
      <c r="G107" s="39" t="inlineStr">
        <is>
          <t>Marcy Castro</t>
        </is>
      </c>
      <c r="H107" s="29">
        <f>IF(F107="(not in WIP)","New to Enterprise",IF(F107=G107,"No","Yes"))</f>
        <v/>
      </c>
      <c r="I107" s="29">
        <f>IFERROR(INDEX(Lookups!$B$2:$B$14,MATCH(G107,Lookups!$A$2:$A$14,0)),"Not found")</f>
        <v/>
      </c>
      <c r="J107" s="29">
        <f>IFERROR(INDEX(Lookups!$E$2:$E$14,MATCH(G107,Lookups!$A$2:$A$14,0)),"")</f>
        <v/>
      </c>
      <c r="K107" s="39" t="inlineStr">
        <is>
          <t>ET</t>
        </is>
      </c>
      <c r="L107" s="29">
        <f>IF(J107="n/a","n/a",IFERROR(IF(ABS(INDEX(Lookups!$H$2:$H$5,MATCH(J107,Lookups!$G$2:$G$5,0))-INDEX(Lookups!$H$2:$H$5,MATCH(K107,Lookups!$G$2:$G$5,0)))&lt;=1,"Yes","No"),"Check"))</f>
        <v/>
      </c>
      <c r="M107" s="43" t="n">
        <v>870256.4</v>
      </c>
      <c r="N107" s="29" t="inlineStr">
        <is>
          <t>Yes</t>
        </is>
      </c>
      <c r="O107" s="39" t="n">
        <v>9</v>
      </c>
      <c r="P107" s="27" t="n"/>
      <c r="Q107" s="29">
        <f>IF(N107&lt;&gt;"Yes","n/a",IF(OR(AND(O107&lt;&gt;"",O107&gt;$W$1),P107="Y"),"Yes",IF(O107&lt;&gt;"","No","Pending")))</f>
        <v/>
      </c>
      <c r="R107" s="29" t="n"/>
      <c r="S107" s="29" t="inlineStr">
        <is>
          <t>Ashley Hill</t>
        </is>
      </c>
      <c r="T107" s="29" t="inlineStr">
        <is>
          <t>Local ENT</t>
        </is>
      </c>
      <c r="U107" s="29" t="inlineStr">
        <is>
          <t>Agenda &amp; Video, Channel Shift, Email &amp; SMS, Engagement &amp; Sentiment, Forms &amp; Workflows, Recurring Services, Service Request Management, Websites, Portals, &amp; Intranets, govXCloud</t>
        </is>
      </c>
      <c r="X107" s="19" t="inlineStr">
        <is>
          <t>B</t>
        </is>
      </c>
      <c r="Y107" s="19" t="n">
        <v>47</v>
      </c>
      <c r="Z107" s="44" t="n">
        <v>0</v>
      </c>
      <c r="AA107" s="51" t="n">
        <v>0.282</v>
      </c>
      <c r="AB107" s="46" t="n">
        <v>3</v>
      </c>
      <c r="AC107" s="19" t="inlineStr">
        <is>
          <t>Defend</t>
        </is>
      </c>
      <c r="AD107" s="19" t="n">
        <v>0.5</v>
      </c>
      <c r="AE107" s="19" t="inlineStr">
        <is>
          <t>reported</t>
        </is>
      </c>
    </row>
    <row r="108" ht="15" customHeight="1" s="20">
      <c r="A108" s="29" t="inlineStr">
        <is>
          <t>Franklin County OH</t>
        </is>
      </c>
      <c r="B108" s="29" t="inlineStr">
        <is>
          <t>Franklin County OH</t>
        </is>
      </c>
      <c r="C108" s="29" t="inlineStr">
        <is>
          <t>OH</t>
        </is>
      </c>
      <c r="D108" s="29" t="inlineStr">
        <is>
          <t>Local ENT</t>
        </is>
      </c>
      <c r="E108" s="29" t="inlineStr">
        <is>
          <t>Kent Hartsfield</t>
        </is>
      </c>
      <c r="F108" s="29" t="inlineStr">
        <is>
          <t>Steffany Amador</t>
        </is>
      </c>
      <c r="G108" s="39" t="inlineStr">
        <is>
          <t>Marcy Castro</t>
        </is>
      </c>
      <c r="H108" s="29">
        <f>IF(F108="(not in WIP)","New to Enterprise",IF(F108=G108,"No","Yes"))</f>
        <v/>
      </c>
      <c r="I108" s="29">
        <f>IFERROR(INDEX(Lookups!$B$2:$B$14,MATCH(G108,Lookups!$A$2:$A$14,0)),"Not found")</f>
        <v/>
      </c>
      <c r="J108" s="29">
        <f>IFERROR(INDEX(Lookups!$E$2:$E$14,MATCH(G108,Lookups!$A$2:$A$14,0)),"")</f>
        <v/>
      </c>
      <c r="K108" s="39" t="inlineStr">
        <is>
          <t>ET</t>
        </is>
      </c>
      <c r="L108" s="29">
        <f>IF(J108="n/a","n/a",IFERROR(IF(ABS(INDEX(Lookups!$H$2:$H$5,MATCH(J108,Lookups!$G$2:$G$5,0))-INDEX(Lookups!$H$2:$H$5,MATCH(K108,Lookups!$G$2:$G$5,0)))&lt;=1,"Yes","No"),"Check"))</f>
        <v/>
      </c>
      <c r="M108" s="43" t="n">
        <v>619425.92</v>
      </c>
      <c r="N108" s="29" t="inlineStr">
        <is>
          <t>Yes</t>
        </is>
      </c>
      <c r="O108" s="39" t="n">
        <v>8</v>
      </c>
      <c r="P108" s="27" t="n"/>
      <c r="Q108" s="29">
        <f>IF(N108&lt;&gt;"Yes","n/a",IF(OR(AND(O108&lt;&gt;"",O108&gt;$W$1),P108="Y"),"Yes",IF(O108&lt;&gt;"","No","Pending")))</f>
        <v/>
      </c>
      <c r="R108" s="29" t="inlineStr">
        <is>
          <t>Franklin County OH: modeled as Columbus SAM (same person either way)</t>
        </is>
      </c>
      <c r="S108" s="29" t="inlineStr">
        <is>
          <t>Andy O'Brien</t>
        </is>
      </c>
      <c r="T108" s="29" t="inlineStr">
        <is>
          <t>Local ENT</t>
        </is>
      </c>
      <c r="U108" s="29" t="inlineStr">
        <is>
          <t>Agenda &amp; Video, Email &amp; SMS, Engagement &amp; Sentiment, Forms &amp; Workflows, Permitting &amp; Licensing, Recurring Services, Websites, Portals, &amp; Intranets, govXCloud</t>
        </is>
      </c>
      <c r="X108" s="19" t="inlineStr">
        <is>
          <t>B</t>
        </is>
      </c>
      <c r="Y108" s="19" t="n">
        <v>47</v>
      </c>
      <c r="Z108" s="44" t="n">
        <v>0</v>
      </c>
      <c r="AA108" s="51" t="n">
        <v>0.282</v>
      </c>
      <c r="AB108" s="46" t="n">
        <v>3</v>
      </c>
      <c r="AC108" s="19" t="inlineStr">
        <is>
          <t>Defend</t>
        </is>
      </c>
      <c r="AD108" s="19" t="n">
        <v>0.5</v>
      </c>
      <c r="AE108" s="19" t="inlineStr">
        <is>
          <t>reported</t>
        </is>
      </c>
    </row>
    <row r="109" ht="15" customHeight="1" s="20">
      <c r="A109" s="29" t="inlineStr">
        <is>
          <t>Cleveland, OH</t>
        </is>
      </c>
      <c r="B109" s="29" t="inlineStr">
        <is>
          <t>Cleveland, OH</t>
        </is>
      </c>
      <c r="C109" s="29" t="inlineStr">
        <is>
          <t>OH</t>
        </is>
      </c>
      <c r="D109" s="29" t="inlineStr">
        <is>
          <t>Local ENT</t>
        </is>
      </c>
      <c r="E109" s="29" t="inlineStr">
        <is>
          <t>Kent Hartsfield</t>
        </is>
      </c>
      <c r="F109" s="29" t="inlineStr">
        <is>
          <t>Steffany Amador</t>
        </is>
      </c>
      <c r="G109" s="39" t="inlineStr">
        <is>
          <t>Marcy Castro</t>
        </is>
      </c>
      <c r="H109" s="29">
        <f>IF(F109="(not in WIP)","New to Enterprise",IF(F109=G109,"No","Yes"))</f>
        <v/>
      </c>
      <c r="I109" s="29">
        <f>IFERROR(INDEX(Lookups!$B$2:$B$14,MATCH(G109,Lookups!$A$2:$A$14,0)),"Not found")</f>
        <v/>
      </c>
      <c r="J109" s="29">
        <f>IFERROR(INDEX(Lookups!$E$2:$E$14,MATCH(G109,Lookups!$A$2:$A$14,0)),"")</f>
        <v/>
      </c>
      <c r="K109" s="39" t="inlineStr">
        <is>
          <t>ET</t>
        </is>
      </c>
      <c r="L109" s="29">
        <f>IF(J109="n/a","n/a",IFERROR(IF(ABS(INDEX(Lookups!$H$2:$H$5,MATCH(J109,Lookups!$G$2:$G$5,0))-INDEX(Lookups!$H$2:$H$5,MATCH(K109,Lookups!$G$2:$G$5,0)))&lt;=1,"Yes","No"),"Check"))</f>
        <v/>
      </c>
      <c r="M109" s="43" t="n">
        <v>292462.82</v>
      </c>
      <c r="N109" s="29" t="inlineStr">
        <is>
          <t>Yes</t>
        </is>
      </c>
      <c r="O109" s="39" t="n">
        <v>3</v>
      </c>
      <c r="P109" s="27" t="n"/>
      <c r="Q109" s="29">
        <f>IF(N109&lt;&gt;"Yes","n/a",IF(OR(AND(O109&lt;&gt;"",O109&gt;$W$1),P109="Y"),"Yes",IF(O109&lt;&gt;"","No","Pending")))</f>
        <v/>
      </c>
      <c r="R109" s="29" t="n"/>
      <c r="S109" s="29" t="inlineStr">
        <is>
          <t>Steffany Amador</t>
        </is>
      </c>
      <c r="T109" s="29" t="inlineStr">
        <is>
          <t>Local ENT</t>
        </is>
      </c>
      <c r="U109" s="29" t="inlineStr">
        <is>
          <t>Agenda &amp; Video, Channel Shift, Public Records Request</t>
        </is>
      </c>
      <c r="X109" s="19" t="inlineStr">
        <is>
          <t>B</t>
        </is>
      </c>
      <c r="Y109" s="19" t="n">
        <v>47</v>
      </c>
      <c r="Z109" s="44" t="n">
        <v>0.625</v>
      </c>
      <c r="AA109" s="51" t="n">
        <v>0.532</v>
      </c>
      <c r="AB109" s="46" t="n">
        <v>3</v>
      </c>
      <c r="AC109" s="19" t="inlineStr">
        <is>
          <t>Defend</t>
        </is>
      </c>
      <c r="AD109" s="19" t="n">
        <v>0.5</v>
      </c>
      <c r="AE109" s="19" t="inlineStr">
        <is>
          <t>reported</t>
        </is>
      </c>
    </row>
    <row r="110" ht="15" customHeight="1" s="20">
      <c r="A110" s="29" t="inlineStr">
        <is>
          <t>Ohio Workers' Compensation Bureau</t>
        </is>
      </c>
      <c r="B110" s="29" t="inlineStr">
        <is>
          <t>Ohio</t>
        </is>
      </c>
      <c r="C110" s="29" t="inlineStr">
        <is>
          <t>OH</t>
        </is>
      </c>
      <c r="D110" s="29" t="inlineStr">
        <is>
          <t>State</t>
        </is>
      </c>
      <c r="E110" s="29" t="inlineStr">
        <is>
          <t>Bettsy Desjarlais</t>
        </is>
      </c>
      <c r="F110" s="29" t="inlineStr">
        <is>
          <t>Steffany Amador</t>
        </is>
      </c>
      <c r="G110" s="39" t="inlineStr">
        <is>
          <t>Marcy Castro</t>
        </is>
      </c>
      <c r="H110" s="29">
        <f>IF(F110="(not in WIP)","New to Enterprise",IF(F110=G110,"No","Yes"))</f>
        <v/>
      </c>
      <c r="I110" s="29">
        <f>IFERROR(INDEX(Lookups!$B$2:$B$14,MATCH(G110,Lookups!$A$2:$A$14,0)),"Not found")</f>
        <v/>
      </c>
      <c r="J110" s="29">
        <f>IFERROR(INDEX(Lookups!$E$2:$E$14,MATCH(G110,Lookups!$A$2:$A$14,0)),"")</f>
        <v/>
      </c>
      <c r="K110" s="39" t="inlineStr">
        <is>
          <t>ET</t>
        </is>
      </c>
      <c r="L110" s="29">
        <f>IF(J110="n/a","n/a",IFERROR(IF(ABS(INDEX(Lookups!$H$2:$H$5,MATCH(J110,Lookups!$G$2:$G$5,0))-INDEX(Lookups!$H$2:$H$5,MATCH(K110,Lookups!$G$2:$G$5,0)))&lt;=1,"Yes","No"),"Check"))</f>
        <v/>
      </c>
      <c r="M110" s="43" t="n">
        <v>155215</v>
      </c>
      <c r="N110" s="29" t="inlineStr">
        <is>
          <t>Yes</t>
        </is>
      </c>
      <c r="O110" s="39" t="n">
        <v>3</v>
      </c>
      <c r="P110" s="27" t="n"/>
      <c r="Q110" s="29">
        <f>IF(N110&lt;&gt;"Yes","n/a",IF(OR(AND(O110&lt;&gt;"",O110&gt;$W$1),P110="Y"),"Yes",IF(O110&lt;&gt;"","No","Pending")))</f>
        <v/>
      </c>
      <c r="R110" s="29" t="n"/>
      <c r="S110" s="29" t="inlineStr">
        <is>
          <t>Steffany Amador</t>
        </is>
      </c>
      <c r="T110" s="29" t="inlineStr">
        <is>
          <t>State</t>
        </is>
      </c>
      <c r="U110" s="29" t="inlineStr">
        <is>
          <t>Email &amp; SMS, Engagement &amp; Sentiment, Recurring Services</t>
        </is>
      </c>
      <c r="X110" s="19" t="inlineStr">
        <is>
          <t>A</t>
        </is>
      </c>
      <c r="Y110" s="19" t="n">
        <v>74.7</v>
      </c>
      <c r="Z110" s="44" t="n">
        <v>0.625</v>
      </c>
      <c r="AA110" s="51" t="n">
        <v>0.6982</v>
      </c>
      <c r="AB110" s="48" t="n">
        <v>1</v>
      </c>
      <c r="AC110" s="19" t="inlineStr">
        <is>
          <t>Growth engine</t>
        </is>
      </c>
      <c r="AD110" s="19" t="n">
        <v>1</v>
      </c>
      <c r="AE110" s="19" t="inlineStr">
        <is>
          <t>reported</t>
        </is>
      </c>
    </row>
    <row r="111" ht="15" customHeight="1" s="20">
      <c r="A111" s="29" t="inlineStr">
        <is>
          <t>Ohio Department of Natural Resources</t>
        </is>
      </c>
      <c r="B111" s="29" t="inlineStr">
        <is>
          <t>Ohio</t>
        </is>
      </c>
      <c r="C111" s="29" t="inlineStr">
        <is>
          <t>OH</t>
        </is>
      </c>
      <c r="D111" s="29" t="inlineStr">
        <is>
          <t>State</t>
        </is>
      </c>
      <c r="E111" s="29" t="inlineStr">
        <is>
          <t>Bettsy Desjarlais</t>
        </is>
      </c>
      <c r="F111" s="29" t="inlineStr">
        <is>
          <t>Steffany Amador</t>
        </is>
      </c>
      <c r="G111" s="39" t="inlineStr">
        <is>
          <t>Marcy Castro</t>
        </is>
      </c>
      <c r="H111" s="29">
        <f>IF(F111="(not in WIP)","New to Enterprise",IF(F111=G111,"No","Yes"))</f>
        <v/>
      </c>
      <c r="I111" s="29">
        <f>IFERROR(INDEX(Lookups!$B$2:$B$14,MATCH(G111,Lookups!$A$2:$A$14,0)),"Not found")</f>
        <v/>
      </c>
      <c r="J111" s="29">
        <f>IFERROR(INDEX(Lookups!$E$2:$E$14,MATCH(G111,Lookups!$A$2:$A$14,0)),"")</f>
        <v/>
      </c>
      <c r="K111" s="39" t="inlineStr">
        <is>
          <t>ET</t>
        </is>
      </c>
      <c r="L111" s="29">
        <f>IF(J111="n/a","n/a",IFERROR(IF(ABS(INDEX(Lookups!$H$2:$H$5,MATCH(J111,Lookups!$G$2:$G$5,0))-INDEX(Lookups!$H$2:$H$5,MATCH(K111,Lookups!$G$2:$G$5,0)))&lt;=1,"Yes","No"),"Check"))</f>
        <v/>
      </c>
      <c r="M111" s="43" t="n">
        <v>50554.39</v>
      </c>
      <c r="N111" s="29" t="inlineStr">
        <is>
          <t>Yes</t>
        </is>
      </c>
      <c r="O111" s="39" t="n">
        <v>2</v>
      </c>
      <c r="P111" s="27" t="n"/>
      <c r="Q111" s="29">
        <f>IF(N111&lt;&gt;"Yes","n/a",IF(OR(AND(O111&lt;&gt;"",O111&gt;$W$1),P111="Y"),"Yes",IF(O111&lt;&gt;"","No","Pending")))</f>
        <v/>
      </c>
      <c r="R111" s="29" t="n"/>
      <c r="S111" s="29" t="inlineStr">
        <is>
          <t>Kristen Murphy</t>
        </is>
      </c>
      <c r="T111" s="29" t="inlineStr">
        <is>
          <t>State</t>
        </is>
      </c>
      <c r="U111" s="29" t="inlineStr">
        <is>
          <t>Other, Public Records Request</t>
        </is>
      </c>
      <c r="X111" s="19" t="inlineStr">
        <is>
          <t>A</t>
        </is>
      </c>
      <c r="Y111" s="19" t="n">
        <v>74.7</v>
      </c>
      <c r="Z111" s="44" t="n">
        <v>0.75</v>
      </c>
      <c r="AA111" s="51" t="n">
        <v>0.7482</v>
      </c>
      <c r="AB111" s="49" t="n">
        <v>2</v>
      </c>
      <c r="AC111" s="19" t="inlineStr">
        <is>
          <t>Expansion</t>
        </is>
      </c>
      <c r="AD111" s="19" t="n">
        <v>0.8</v>
      </c>
      <c r="AE111" s="19" t="inlineStr">
        <is>
          <t>reported</t>
        </is>
      </c>
    </row>
    <row r="112" ht="15" customHeight="1" s="20">
      <c r="A112" s="29" t="inlineStr">
        <is>
          <t>Des Moines IA</t>
        </is>
      </c>
      <c r="B112" s="29" t="inlineStr">
        <is>
          <t>Des Moines IA</t>
        </is>
      </c>
      <c r="C112" s="29" t="inlineStr">
        <is>
          <t>IA</t>
        </is>
      </c>
      <c r="D112" s="29" t="inlineStr">
        <is>
          <t>Local ENT</t>
        </is>
      </c>
      <c r="E112" s="29" t="inlineStr">
        <is>
          <t>Tyler Carlson</t>
        </is>
      </c>
      <c r="F112" s="29" t="inlineStr">
        <is>
          <t>Steffany Amador</t>
        </is>
      </c>
      <c r="G112" s="39" t="inlineStr">
        <is>
          <t>Brooke Minichino</t>
        </is>
      </c>
      <c r="H112" s="29">
        <f>IF(F112="(not in WIP)","New to Enterprise",IF(F112=G112,"No","Yes"))</f>
        <v/>
      </c>
      <c r="I112" s="29">
        <f>IFERROR(INDEX(Lookups!$B$2:$B$14,MATCH(G112,Lookups!$A$2:$A$14,0)),"Not found")</f>
        <v/>
      </c>
      <c r="J112" s="29">
        <f>IFERROR(INDEX(Lookups!$E$2:$E$14,MATCH(G112,Lookups!$A$2:$A$14,0)),"")</f>
        <v/>
      </c>
      <c r="K112" s="39" t="inlineStr">
        <is>
          <t>CT</t>
        </is>
      </c>
      <c r="L112" s="29">
        <f>IF(J112="n/a","n/a",IFERROR(IF(ABS(INDEX(Lookups!$H$2:$H$5,MATCH(J112,Lookups!$G$2:$G$5,0))-INDEX(Lookups!$H$2:$H$5,MATCH(K112,Lookups!$G$2:$G$5,0)))&lt;=1,"Yes","No"),"Check"))</f>
        <v/>
      </c>
      <c r="M112" s="43" t="n">
        <v>89731.12</v>
      </c>
      <c r="N112" s="29" t="inlineStr">
        <is>
          <t>Yes</t>
        </is>
      </c>
      <c r="O112" s="39" t="n">
        <v>5</v>
      </c>
      <c r="P112" s="27" t="n"/>
      <c r="Q112" s="29">
        <f>IF(N112&lt;&gt;"Yes","n/a",IF(OR(AND(O112&lt;&gt;"",O112&gt;$W$1),P112="Y"),"Yes",IF(O112&lt;&gt;"","No","Pending")))</f>
        <v/>
      </c>
      <c r="R112" s="29" t="n"/>
      <c r="S112" s="29" t="inlineStr">
        <is>
          <t>David Treminio</t>
        </is>
      </c>
      <c r="T112" s="29" t="inlineStr">
        <is>
          <t>Local ENT</t>
        </is>
      </c>
      <c r="U112" s="29" t="inlineStr">
        <is>
          <t>Agenda &amp; Video, Email &amp; SMS, Engagement &amp; Sentiment, Recurring Services, Service Request Management</t>
        </is>
      </c>
      <c r="X112" s="19" t="inlineStr">
        <is>
          <t>B</t>
        </is>
      </c>
      <c r="Y112" s="19" t="n">
        <v>50.3</v>
      </c>
      <c r="Z112" s="44" t="n">
        <v>0.375</v>
      </c>
      <c r="AA112" s="51" t="n">
        <v>0.4518</v>
      </c>
      <c r="AB112" s="47" t="n">
        <v>4</v>
      </c>
      <c r="AC112" s="19" t="inlineStr">
        <is>
          <t>Maintain</t>
        </is>
      </c>
      <c r="AD112" s="19" t="n">
        <v>0.3</v>
      </c>
      <c r="AE112" s="19" t="inlineStr">
        <is>
          <t>reported</t>
        </is>
      </c>
    </row>
    <row r="113" ht="15" customHeight="1" s="20">
      <c r="A113" s="29" t="inlineStr">
        <is>
          <t>Iowa Division of Information Technology</t>
        </is>
      </c>
      <c r="B113" s="29" t="inlineStr">
        <is>
          <t>Iowa</t>
        </is>
      </c>
      <c r="C113" s="29" t="inlineStr">
        <is>
          <t>IA</t>
        </is>
      </c>
      <c r="D113" s="29" t="inlineStr">
        <is>
          <t>State</t>
        </is>
      </c>
      <c r="E113" s="29" t="inlineStr">
        <is>
          <t>No State AE shown (IA)</t>
        </is>
      </c>
      <c r="F113" s="29" t="inlineStr">
        <is>
          <t>Steffany Amador</t>
        </is>
      </c>
      <c r="G113" s="39" t="inlineStr">
        <is>
          <t>Brooke Minichino</t>
        </is>
      </c>
      <c r="H113" s="29">
        <f>IF(F113="(not in WIP)","New to Enterprise",IF(F113=G113,"No","Yes"))</f>
        <v/>
      </c>
      <c r="I113" s="29">
        <f>IFERROR(INDEX(Lookups!$B$2:$B$14,MATCH(G113,Lookups!$A$2:$A$14,0)),"Not found")</f>
        <v/>
      </c>
      <c r="J113" s="29">
        <f>IFERROR(INDEX(Lookups!$E$2:$E$14,MATCH(G113,Lookups!$A$2:$A$14,0)),"")</f>
        <v/>
      </c>
      <c r="K113" s="39" t="inlineStr">
        <is>
          <t>CT</t>
        </is>
      </c>
      <c r="L113" s="29">
        <f>IF(J113="n/a","n/a",IFERROR(IF(ABS(INDEX(Lookups!$H$2:$H$5,MATCH(J113,Lookups!$G$2:$G$5,0))-INDEX(Lookups!$H$2:$H$5,MATCH(K113,Lookups!$G$2:$G$5,0)))&lt;=1,"Yes","No"),"Check"))</f>
        <v/>
      </c>
      <c r="M113" s="43" t="n">
        <v>511994.99</v>
      </c>
      <c r="N113" s="29" t="inlineStr">
        <is>
          <t>Yes</t>
        </is>
      </c>
      <c r="O113" s="39" t="n">
        <v>3</v>
      </c>
      <c r="P113" s="27" t="n"/>
      <c r="Q113" s="29">
        <f>IF(N113&lt;&gt;"Yes","n/a",IF(OR(AND(O113&lt;&gt;"",O113&gt;$W$1),P113="Y"),"Yes",IF(O113&lt;&gt;"","No","Pending")))</f>
        <v/>
      </c>
      <c r="R113" s="29" t="n"/>
      <c r="S113" s="29" t="inlineStr">
        <is>
          <t>Steffany Amador</t>
        </is>
      </c>
      <c r="T113" s="29" t="inlineStr">
        <is>
          <t>State</t>
        </is>
      </c>
      <c r="U113" s="29" t="inlineStr">
        <is>
          <t>Email &amp; SMS, Engagement &amp; Sentiment, Recurring Services</t>
        </is>
      </c>
      <c r="X113" s="19" t="inlineStr">
        <is>
          <t>C</t>
        </is>
      </c>
      <c r="Y113" s="19" t="n">
        <v>42.3</v>
      </c>
      <c r="Z113" s="44" t="n">
        <v>0.625</v>
      </c>
      <c r="AA113" s="51" t="n">
        <v>0.5038</v>
      </c>
      <c r="AB113" s="46" t="n">
        <v>3</v>
      </c>
      <c r="AC113" s="19" t="inlineStr">
        <is>
          <t>Defend</t>
        </is>
      </c>
      <c r="AD113" s="19" t="n">
        <v>0.5</v>
      </c>
      <c r="AE113" s="19" t="inlineStr">
        <is>
          <t>reported</t>
        </is>
      </c>
    </row>
    <row r="114" ht="15" customHeight="1" s="20">
      <c r="A114" s="29" t="inlineStr">
        <is>
          <t>Wayne County MI</t>
        </is>
      </c>
      <c r="B114" s="29" t="inlineStr">
        <is>
          <t>Wayne County MI</t>
        </is>
      </c>
      <c r="C114" s="29" t="inlineStr">
        <is>
          <t>MI</t>
        </is>
      </c>
      <c r="D114" s="29" t="inlineStr">
        <is>
          <t>Local ENT</t>
        </is>
      </c>
      <c r="E114" s="29" t="inlineStr">
        <is>
          <t>Tyler Carlson</t>
        </is>
      </c>
      <c r="F114" s="29" t="inlineStr">
        <is>
          <t>Brooke Minichino</t>
        </is>
      </c>
      <c r="G114" s="39" t="inlineStr">
        <is>
          <t>Brooke Minichino</t>
        </is>
      </c>
      <c r="H114" s="29">
        <f>IF(F114="(not in WIP)","New to Enterprise",IF(F114=G114,"No","Yes"))</f>
        <v/>
      </c>
      <c r="I114" s="29">
        <f>IFERROR(INDEX(Lookups!$B$2:$B$14,MATCH(G114,Lookups!$A$2:$A$14,0)),"Not found")</f>
        <v/>
      </c>
      <c r="J114" s="29">
        <f>IFERROR(INDEX(Lookups!$E$2:$E$14,MATCH(G114,Lookups!$A$2:$A$14,0)),"")</f>
        <v/>
      </c>
      <c r="K114" s="39" t="inlineStr">
        <is>
          <t>ET</t>
        </is>
      </c>
      <c r="L114" s="29">
        <f>IF(J114="n/a","n/a",IFERROR(IF(ABS(INDEX(Lookups!$H$2:$H$5,MATCH(J114,Lookups!$G$2:$G$5,0))-INDEX(Lookups!$H$2:$H$5,MATCH(K114,Lookups!$G$2:$G$5,0)))&lt;=1,"Yes","No"),"Check"))</f>
        <v/>
      </c>
      <c r="M114" s="43" t="n">
        <v>489446.2</v>
      </c>
      <c r="N114" s="29" t="inlineStr">
        <is>
          <t>Yes</t>
        </is>
      </c>
      <c r="O114" s="39" t="n">
        <v>8</v>
      </c>
      <c r="P114" s="27" t="n"/>
      <c r="Q114" s="29">
        <f>IF(N114&lt;&gt;"Yes","n/a",IF(OR(AND(O114&lt;&gt;"",O114&gt;$W$1),P114="Y"),"Yes",IF(O114&lt;&gt;"","No","Pending")))</f>
        <v/>
      </c>
      <c r="R114" s="29" t="n"/>
      <c r="S114" s="29" t="inlineStr">
        <is>
          <t>Brooke Minichino</t>
        </is>
      </c>
      <c r="T114" s="29" t="inlineStr">
        <is>
          <t>Local ENT</t>
        </is>
      </c>
      <c r="U114" s="29" t="inlineStr">
        <is>
          <t>Channel Shift, Email &amp; SMS, Engagement &amp; Sentiment, Forms &amp; Workflows, Land &amp; Vitals, Recurring Services, Service Request Management, Websites, Portals, &amp; Intranets</t>
        </is>
      </c>
      <c r="X114" s="19" t="inlineStr">
        <is>
          <t>B</t>
        </is>
      </c>
      <c r="Y114" s="19" t="n">
        <v>49.5</v>
      </c>
      <c r="Z114" s="44" t="n">
        <v>0</v>
      </c>
      <c r="AA114" s="51" t="n">
        <v>0.297</v>
      </c>
      <c r="AB114" s="46" t="n">
        <v>3</v>
      </c>
      <c r="AC114" s="19" t="inlineStr">
        <is>
          <t>Defend</t>
        </is>
      </c>
      <c r="AD114" s="19" t="n">
        <v>0.5</v>
      </c>
      <c r="AE114" s="19" t="inlineStr">
        <is>
          <t>reported</t>
        </is>
      </c>
    </row>
    <row r="115" ht="15" customHeight="1" s="20">
      <c r="A115" s="29" t="inlineStr">
        <is>
          <t>St. Paul MN</t>
        </is>
      </c>
      <c r="B115" s="29" t="inlineStr">
        <is>
          <t>St. Paul MN</t>
        </is>
      </c>
      <c r="C115" s="29" t="inlineStr">
        <is>
          <t>MN</t>
        </is>
      </c>
      <c r="D115" s="29" t="inlineStr">
        <is>
          <t>Local ENT</t>
        </is>
      </c>
      <c r="E115" s="29" t="inlineStr">
        <is>
          <t>Tyler Carlson</t>
        </is>
      </c>
      <c r="F115" s="29" t="inlineStr">
        <is>
          <t>Brooke Minichino</t>
        </is>
      </c>
      <c r="G115" s="39" t="inlineStr">
        <is>
          <t>Brooke Minichino</t>
        </is>
      </c>
      <c r="H115" s="29">
        <f>IF(F115="(not in WIP)","New to Enterprise",IF(F115=G115,"No","Yes"))</f>
        <v/>
      </c>
      <c r="I115" s="29">
        <f>IFERROR(INDEX(Lookups!$B$2:$B$14,MATCH(G115,Lookups!$A$2:$A$14,0)),"Not found")</f>
        <v/>
      </c>
      <c r="J115" s="29">
        <f>IFERROR(INDEX(Lookups!$E$2:$E$14,MATCH(G115,Lookups!$A$2:$A$14,0)),"")</f>
        <v/>
      </c>
      <c r="K115" s="39" t="inlineStr">
        <is>
          <t>CT</t>
        </is>
      </c>
      <c r="L115" s="29">
        <f>IF(J115="n/a","n/a",IFERROR(IF(ABS(INDEX(Lookups!$H$2:$H$5,MATCH(J115,Lookups!$G$2:$G$5,0))-INDEX(Lookups!$H$2:$H$5,MATCH(K115,Lookups!$G$2:$G$5,0)))&lt;=1,"Yes","No"),"Check"))</f>
        <v/>
      </c>
      <c r="M115" s="43" t="n">
        <v>225711.22</v>
      </c>
      <c r="N115" s="29" t="inlineStr">
        <is>
          <t>Yes</t>
        </is>
      </c>
      <c r="O115" s="39" t="n">
        <v>4</v>
      </c>
      <c r="P115" s="27" t="n"/>
      <c r="Q115" s="29">
        <f>IF(N115&lt;&gt;"Yes","n/a",IF(OR(AND(O115&lt;&gt;"",O115&gt;$W$1),P115="Y"),"Yes",IF(O115&lt;&gt;"","No","Pending")))</f>
        <v/>
      </c>
      <c r="R115" s="29" t="n"/>
      <c r="S115" s="29" t="inlineStr">
        <is>
          <t>Brooke Minichino</t>
        </is>
      </c>
      <c r="T115" s="29" t="inlineStr">
        <is>
          <t>Local ENT</t>
        </is>
      </c>
      <c r="U115" s="29" t="inlineStr">
        <is>
          <t>Agenda &amp; Video, Email &amp; SMS, Engagement &amp; Sentiment, Public Records Request</t>
        </is>
      </c>
      <c r="X115" s="19" t="inlineStr">
        <is>
          <t>A</t>
        </is>
      </c>
      <c r="Y115" s="19" t="n">
        <v>58.5</v>
      </c>
      <c r="Z115" s="44" t="n">
        <v>0.5</v>
      </c>
      <c r="AA115" s="51" t="n">
        <v>0.551</v>
      </c>
      <c r="AB115" s="46" t="n">
        <v>3</v>
      </c>
      <c r="AC115" s="19" t="inlineStr">
        <is>
          <t>Defend</t>
        </is>
      </c>
      <c r="AD115" s="19" t="n">
        <v>0.5</v>
      </c>
      <c r="AE115" s="19" t="inlineStr">
        <is>
          <t>reported</t>
        </is>
      </c>
    </row>
    <row r="116" ht="15" customHeight="1" s="20">
      <c r="A116" s="29" t="inlineStr">
        <is>
          <t>Ramsey County MN</t>
        </is>
      </c>
      <c r="B116" s="29" t="inlineStr">
        <is>
          <t>Ramsey County MN</t>
        </is>
      </c>
      <c r="C116" s="29" t="inlineStr">
        <is>
          <t>MN</t>
        </is>
      </c>
      <c r="D116" s="29" t="inlineStr">
        <is>
          <t>Local ENT</t>
        </is>
      </c>
      <c r="E116" s="29" t="inlineStr">
        <is>
          <t>Tyler Carlson</t>
        </is>
      </c>
      <c r="F116" s="29" t="inlineStr">
        <is>
          <t>Brooke Minichino</t>
        </is>
      </c>
      <c r="G116" s="39" t="inlineStr">
        <is>
          <t>Brooke Minichino</t>
        </is>
      </c>
      <c r="H116" s="29">
        <f>IF(F116="(not in WIP)","New to Enterprise",IF(F116=G116,"No","Yes"))</f>
        <v/>
      </c>
      <c r="I116" s="29">
        <f>IFERROR(INDEX(Lookups!$B$2:$B$14,MATCH(G116,Lookups!$A$2:$A$14,0)),"Not found")</f>
        <v/>
      </c>
      <c r="J116" s="29">
        <f>IFERROR(INDEX(Lookups!$E$2:$E$14,MATCH(G116,Lookups!$A$2:$A$14,0)),"")</f>
        <v/>
      </c>
      <c r="K116" s="39" t="inlineStr">
        <is>
          <t>CT</t>
        </is>
      </c>
      <c r="L116" s="29">
        <f>IF(J116="n/a","n/a",IFERROR(IF(ABS(INDEX(Lookups!$H$2:$H$5,MATCH(J116,Lookups!$G$2:$G$5,0))-INDEX(Lookups!$H$2:$H$5,MATCH(K116,Lookups!$G$2:$G$5,0)))&lt;=1,"Yes","No"),"Check"))</f>
        <v/>
      </c>
      <c r="M116" s="43" t="n">
        <v>177558.91</v>
      </c>
      <c r="N116" s="29" t="inlineStr">
        <is>
          <t>Yes</t>
        </is>
      </c>
      <c r="O116" s="39" t="n">
        <v>3</v>
      </c>
      <c r="P116" s="27" t="n"/>
      <c r="Q116" s="29">
        <f>IF(N116&lt;&gt;"Yes","n/a",IF(OR(AND(O116&lt;&gt;"",O116&gt;$W$1),P116="Y"),"Yes",IF(O116&lt;&gt;"","No","Pending")))</f>
        <v/>
      </c>
      <c r="R116" s="29" t="n"/>
      <c r="S116" s="29" t="inlineStr">
        <is>
          <t>Brooke Minichino</t>
        </is>
      </c>
      <c r="T116" s="29" t="inlineStr">
        <is>
          <t>Local ENT</t>
        </is>
      </c>
      <c r="U116" s="29" t="inlineStr">
        <is>
          <t>Agenda &amp; Video, Email &amp; SMS, Public Records Request</t>
        </is>
      </c>
      <c r="X116" s="19" t="inlineStr">
        <is>
          <t>A</t>
        </is>
      </c>
      <c r="Y116" s="19" t="n">
        <v>58.5</v>
      </c>
      <c r="Z116" s="44" t="n">
        <v>0.625</v>
      </c>
      <c r="AA116" s="51" t="n">
        <v>0.601</v>
      </c>
      <c r="AB116" s="48" t="n">
        <v>1</v>
      </c>
      <c r="AC116" s="19" t="inlineStr">
        <is>
          <t>Growth engine</t>
        </is>
      </c>
      <c r="AD116" s="19" t="n">
        <v>1</v>
      </c>
      <c r="AE116" s="19" t="inlineStr">
        <is>
          <t>reported</t>
        </is>
      </c>
    </row>
    <row r="117" ht="15" customHeight="1" s="20">
      <c r="A117" s="29" t="inlineStr">
        <is>
          <t>Minnesota Public Utilities Commission</t>
        </is>
      </c>
      <c r="B117" s="29" t="inlineStr">
        <is>
          <t>Minnesota</t>
        </is>
      </c>
      <c r="C117" s="29" t="inlineStr">
        <is>
          <t>MN</t>
        </is>
      </c>
      <c r="D117" s="29" t="inlineStr">
        <is>
          <t>State</t>
        </is>
      </c>
      <c r="E117" s="29" t="inlineStr">
        <is>
          <t>Joe Spair</t>
        </is>
      </c>
      <c r="F117" s="29" t="inlineStr">
        <is>
          <t>Brooke Minichino</t>
        </is>
      </c>
      <c r="G117" s="39" t="inlineStr">
        <is>
          <t>Brooke Minichino</t>
        </is>
      </c>
      <c r="H117" s="29">
        <f>IF(F117="(not in WIP)","New to Enterprise",IF(F117=G117,"No","Yes"))</f>
        <v/>
      </c>
      <c r="I117" s="29">
        <f>IFERROR(INDEX(Lookups!$B$2:$B$14,MATCH(G117,Lookups!$A$2:$A$14,0)),"Not found")</f>
        <v/>
      </c>
      <c r="J117" s="29">
        <f>IFERROR(INDEX(Lookups!$E$2:$E$14,MATCH(G117,Lookups!$A$2:$A$14,0)),"")</f>
        <v/>
      </c>
      <c r="K117" s="39" t="inlineStr">
        <is>
          <t>CT</t>
        </is>
      </c>
      <c r="L117" s="29">
        <f>IF(J117="n/a","n/a",IFERROR(IF(ABS(INDEX(Lookups!$H$2:$H$5,MATCH(J117,Lookups!$G$2:$G$5,0))-INDEX(Lookups!$H$2:$H$5,MATCH(K117,Lookups!$G$2:$G$5,0)))&lt;=1,"Yes","No"),"Check"))</f>
        <v/>
      </c>
      <c r="M117" s="43" t="n">
        <v>51463.55</v>
      </c>
      <c r="N117" s="29" t="inlineStr">
        <is>
          <t>Yes</t>
        </is>
      </c>
      <c r="O117" s="39" t="n">
        <v>0</v>
      </c>
      <c r="P117" s="27" t="n"/>
      <c r="Q117" s="29">
        <f>IF(N117&lt;&gt;"Yes","n/a",IF(OR(AND(O117&lt;&gt;"",O117&gt;$W$1),P117="Y"),"Yes",IF(O117&lt;&gt;"","No","Pending")))</f>
        <v/>
      </c>
      <c r="R117" s="29" t="n"/>
      <c r="S117" s="29" t="inlineStr">
        <is>
          <t>Alejandro Solano</t>
        </is>
      </c>
      <c r="T117" s="29" t="inlineStr">
        <is>
          <t>State</t>
        </is>
      </c>
      <c r="U117" s="29" t="n"/>
      <c r="X117" s="19" t="inlineStr">
        <is>
          <t>A</t>
        </is>
      </c>
      <c r="Y117" s="19" t="n">
        <v>67.40000000000001</v>
      </c>
      <c r="Z117" s="44" t="n">
        <v>0.75</v>
      </c>
      <c r="AA117" s="51" t="n">
        <v>0.7044</v>
      </c>
      <c r="AB117" s="49" t="n">
        <v>2</v>
      </c>
      <c r="AC117" s="19" t="inlineStr">
        <is>
          <t>Expansion</t>
        </is>
      </c>
      <c r="AD117" s="19" t="n">
        <v>0.8</v>
      </c>
      <c r="AE117" s="19" t="inlineStr">
        <is>
          <t>imputed</t>
        </is>
      </c>
    </row>
    <row r="118" ht="15" customHeight="1" s="20">
      <c r="A118" s="29" t="inlineStr">
        <is>
          <t>Minnesota Department of Children, Youth, and Families</t>
        </is>
      </c>
      <c r="B118" s="29" t="inlineStr">
        <is>
          <t>Minnesota</t>
        </is>
      </c>
      <c r="C118" s="29" t="inlineStr">
        <is>
          <t>MN</t>
        </is>
      </c>
      <c r="D118" s="29" t="inlineStr">
        <is>
          <t>State</t>
        </is>
      </c>
      <c r="E118" s="29" t="inlineStr">
        <is>
          <t>Joe Spair</t>
        </is>
      </c>
      <c r="F118" s="29" t="inlineStr">
        <is>
          <t>Brooke Minichino</t>
        </is>
      </c>
      <c r="G118" s="39" t="inlineStr">
        <is>
          <t>Brooke Minichino</t>
        </is>
      </c>
      <c r="H118" s="29">
        <f>IF(F118="(not in WIP)","New to Enterprise",IF(F118=G118,"No","Yes"))</f>
        <v/>
      </c>
      <c r="I118" s="29">
        <f>IFERROR(INDEX(Lookups!$B$2:$B$14,MATCH(G118,Lookups!$A$2:$A$14,0)),"Not found")</f>
        <v/>
      </c>
      <c r="J118" s="29">
        <f>IFERROR(INDEX(Lookups!$E$2:$E$14,MATCH(G118,Lookups!$A$2:$A$14,0)),"")</f>
        <v/>
      </c>
      <c r="K118" s="39" t="inlineStr">
        <is>
          <t>CT</t>
        </is>
      </c>
      <c r="L118" s="29">
        <f>IF(J118="n/a","n/a",IFERROR(IF(ABS(INDEX(Lookups!$H$2:$H$5,MATCH(J118,Lookups!$G$2:$G$5,0))-INDEX(Lookups!$H$2:$H$5,MATCH(K118,Lookups!$G$2:$G$5,0)))&lt;=1,"Yes","No"),"Check"))</f>
        <v/>
      </c>
      <c r="M118" s="43" t="n">
        <v>37261.94</v>
      </c>
      <c r="N118" s="29" t="inlineStr">
        <is>
          <t>Yes</t>
        </is>
      </c>
      <c r="O118" s="39" t="n">
        <v>1</v>
      </c>
      <c r="P118" s="27" t="n"/>
      <c r="Q118" s="29">
        <f>IF(N118&lt;&gt;"Yes","n/a",IF(OR(AND(O118&lt;&gt;"",O118&gt;$W$1),P118="Y"),"Yes",IF(O118&lt;&gt;"","No","Pending")))</f>
        <v/>
      </c>
      <c r="R118" s="29" t="n"/>
      <c r="S118" s="29" t="inlineStr">
        <is>
          <t>Steffany Amador</t>
        </is>
      </c>
      <c r="T118" s="29" t="inlineStr">
        <is>
          <t>State</t>
        </is>
      </c>
      <c r="U118" s="29" t="inlineStr">
        <is>
          <t>Public Records Request</t>
        </is>
      </c>
      <c r="X118" s="19" t="inlineStr">
        <is>
          <t>A</t>
        </is>
      </c>
      <c r="Y118" s="19" t="n">
        <v>67.40000000000001</v>
      </c>
      <c r="Z118" s="44" t="n">
        <v>0.875</v>
      </c>
      <c r="AA118" s="51" t="n">
        <v>0.7544</v>
      </c>
      <c r="AB118" s="49" t="n">
        <v>2</v>
      </c>
      <c r="AC118" s="19" t="inlineStr">
        <is>
          <t>Expansion</t>
        </is>
      </c>
      <c r="AD118" s="19" t="n">
        <v>0.8</v>
      </c>
      <c r="AE118" s="19" t="inlineStr">
        <is>
          <t>reported</t>
        </is>
      </c>
    </row>
    <row r="119" ht="15" customHeight="1" s="20">
      <c r="A119" s="29" t="inlineStr">
        <is>
          <t>Minnesota Attorney General</t>
        </is>
      </c>
      <c r="B119" s="29" t="inlineStr">
        <is>
          <t>Minnesota</t>
        </is>
      </c>
      <c r="C119" s="29" t="inlineStr">
        <is>
          <t>MN</t>
        </is>
      </c>
      <c r="D119" s="29" t="inlineStr">
        <is>
          <t>State</t>
        </is>
      </c>
      <c r="E119" s="29" t="inlineStr">
        <is>
          <t>Joe Spair</t>
        </is>
      </c>
      <c r="F119" s="29" t="inlineStr">
        <is>
          <t>Brooke Minichino</t>
        </is>
      </c>
      <c r="G119" s="39" t="inlineStr">
        <is>
          <t>Brooke Minichino</t>
        </is>
      </c>
      <c r="H119" s="29">
        <f>IF(F119="(not in WIP)","New to Enterprise",IF(F119=G119,"No","Yes"))</f>
        <v/>
      </c>
      <c r="I119" s="29">
        <f>IFERROR(INDEX(Lookups!$B$2:$B$14,MATCH(G119,Lookups!$A$2:$A$14,0)),"Not found")</f>
        <v/>
      </c>
      <c r="J119" s="29">
        <f>IFERROR(INDEX(Lookups!$E$2:$E$14,MATCH(G119,Lookups!$A$2:$A$14,0)),"")</f>
        <v/>
      </c>
      <c r="K119" s="39" t="inlineStr">
        <is>
          <t>CT</t>
        </is>
      </c>
      <c r="L119" s="29">
        <f>IF(J119="n/a","n/a",IFERROR(IF(ABS(INDEX(Lookups!$H$2:$H$5,MATCH(J119,Lookups!$G$2:$G$5,0))-INDEX(Lookups!$H$2:$H$5,MATCH(K119,Lookups!$G$2:$G$5,0)))&lt;=1,"Yes","No"),"Check"))</f>
        <v/>
      </c>
      <c r="M119" s="43" t="n">
        <v>25748.88</v>
      </c>
      <c r="N119" s="29" t="inlineStr">
        <is>
          <t>Yes</t>
        </is>
      </c>
      <c r="O119" s="39" t="n">
        <v>3</v>
      </c>
      <c r="P119" s="27" t="n"/>
      <c r="Q119" s="29">
        <f>IF(N119&lt;&gt;"Yes","n/a",IF(OR(AND(O119&lt;&gt;"",O119&gt;$W$1),P119="Y"),"Yes",IF(O119&lt;&gt;"","No","Pending")))</f>
        <v/>
      </c>
      <c r="R119" s="29" t="n"/>
      <c r="S119" s="29" t="inlineStr">
        <is>
          <t>Natalia Sanchez</t>
        </is>
      </c>
      <c r="T119" s="29" t="inlineStr">
        <is>
          <t>State</t>
        </is>
      </c>
      <c r="U119" s="29" t="inlineStr">
        <is>
          <t>Email &amp; SMS, Engagement &amp; Sentiment, Recurring Services</t>
        </is>
      </c>
      <c r="X119" s="19" t="inlineStr">
        <is>
          <t>A</t>
        </is>
      </c>
      <c r="Y119" s="19" t="n">
        <v>67.40000000000001</v>
      </c>
      <c r="Z119" s="44" t="n">
        <v>0.625</v>
      </c>
      <c r="AA119" s="51" t="n">
        <v>0.6544</v>
      </c>
      <c r="AB119" s="49" t="n">
        <v>2</v>
      </c>
      <c r="AC119" s="19" t="inlineStr">
        <is>
          <t>Expansion</t>
        </is>
      </c>
      <c r="AD119" s="19" t="n">
        <v>0.8</v>
      </c>
      <c r="AE119" s="19" t="inlineStr">
        <is>
          <t>reported</t>
        </is>
      </c>
    </row>
    <row r="120" ht="15" customHeight="1" s="20">
      <c r="A120" s="29" t="inlineStr">
        <is>
          <t>Minnesota State Auditor's Office</t>
        </is>
      </c>
      <c r="B120" s="29" t="inlineStr">
        <is>
          <t>Minnesota</t>
        </is>
      </c>
      <c r="C120" s="29" t="inlineStr">
        <is>
          <t>MN</t>
        </is>
      </c>
      <c r="D120" s="29" t="inlineStr">
        <is>
          <t>State</t>
        </is>
      </c>
      <c r="E120" s="29" t="inlineStr">
        <is>
          <t>Joe Spair</t>
        </is>
      </c>
      <c r="F120" s="29" t="inlineStr">
        <is>
          <t>Brooke Minichino</t>
        </is>
      </c>
      <c r="G120" s="39" t="inlineStr">
        <is>
          <t>Brooke Minichino</t>
        </is>
      </c>
      <c r="H120" s="29">
        <f>IF(F120="(not in WIP)","New to Enterprise",IF(F120=G120,"No","Yes"))</f>
        <v/>
      </c>
      <c r="I120" s="29">
        <f>IFERROR(INDEX(Lookups!$B$2:$B$14,MATCH(G120,Lookups!$A$2:$A$14,0)),"Not found")</f>
        <v/>
      </c>
      <c r="J120" s="29">
        <f>IFERROR(INDEX(Lookups!$E$2:$E$14,MATCH(G120,Lookups!$A$2:$A$14,0)),"")</f>
        <v/>
      </c>
      <c r="K120" s="39" t="inlineStr">
        <is>
          <t>CT</t>
        </is>
      </c>
      <c r="L120" s="29">
        <f>IF(J120="n/a","n/a",IFERROR(IF(ABS(INDEX(Lookups!$H$2:$H$5,MATCH(J120,Lookups!$G$2:$G$5,0))-INDEX(Lookups!$H$2:$H$5,MATCH(K120,Lookups!$G$2:$G$5,0)))&lt;=1,"Yes","No"),"Check"))</f>
        <v/>
      </c>
      <c r="M120" s="43" t="n">
        <v>22471.75</v>
      </c>
      <c r="N120" s="29" t="inlineStr">
        <is>
          <t>Yes</t>
        </is>
      </c>
      <c r="O120" s="39" t="n">
        <v>3</v>
      </c>
      <c r="P120" s="27" t="n"/>
      <c r="Q120" s="29">
        <f>IF(N120&lt;&gt;"Yes","n/a",IF(OR(AND(O120&lt;&gt;"",O120&gt;$W$1),P120="Y"),"Yes",IF(O120&lt;&gt;"","No","Pending")))</f>
        <v/>
      </c>
      <c r="R120" s="29" t="n"/>
      <c r="S120" s="29" t="inlineStr">
        <is>
          <t>Kerrian Dailey</t>
        </is>
      </c>
      <c r="T120" s="29" t="inlineStr">
        <is>
          <t>State</t>
        </is>
      </c>
      <c r="U120" s="29" t="inlineStr">
        <is>
          <t>Email &amp; SMS, Engagement &amp; Sentiment, Recurring Services</t>
        </is>
      </c>
      <c r="X120" s="19" t="inlineStr">
        <is>
          <t>A</t>
        </is>
      </c>
      <c r="Y120" s="19" t="n">
        <v>67.40000000000001</v>
      </c>
      <c r="Z120" s="44" t="n">
        <v>0.625</v>
      </c>
      <c r="AA120" s="51" t="n">
        <v>0.6544</v>
      </c>
      <c r="AB120" s="49" t="n">
        <v>2</v>
      </c>
      <c r="AC120" s="19" t="inlineStr">
        <is>
          <t>Expansion</t>
        </is>
      </c>
      <c r="AD120" s="19" t="n">
        <v>0.8</v>
      </c>
      <c r="AE120" s="19" t="inlineStr">
        <is>
          <t>reported</t>
        </is>
      </c>
    </row>
    <row r="121" ht="15" customHeight="1" s="20">
      <c r="A121" s="29" t="inlineStr">
        <is>
          <t>Milwaukee County WI</t>
        </is>
      </c>
      <c r="B121" s="29" t="inlineStr">
        <is>
          <t>Milwaukee County WI</t>
        </is>
      </c>
      <c r="C121" s="29" t="inlineStr">
        <is>
          <t>WI</t>
        </is>
      </c>
      <c r="D121" s="29" t="inlineStr">
        <is>
          <t>Local ENT</t>
        </is>
      </c>
      <c r="E121" s="29" t="inlineStr">
        <is>
          <t>Tyler Carlson</t>
        </is>
      </c>
      <c r="F121" s="29" t="inlineStr">
        <is>
          <t>Brooke Minichino</t>
        </is>
      </c>
      <c r="G121" s="39" t="inlineStr">
        <is>
          <t>Brooke Minichino</t>
        </is>
      </c>
      <c r="H121" s="29">
        <f>IF(F121="(not in WIP)","New to Enterprise",IF(F121=G121,"No","Yes"))</f>
        <v/>
      </c>
      <c r="I121" s="29">
        <f>IFERROR(INDEX(Lookups!$B$2:$B$14,MATCH(G121,Lookups!$A$2:$A$14,0)),"Not found")</f>
        <v/>
      </c>
      <c r="J121" s="29">
        <f>IFERROR(INDEX(Lookups!$E$2:$E$14,MATCH(G121,Lookups!$A$2:$A$14,0)),"")</f>
        <v/>
      </c>
      <c r="K121" s="39" t="inlineStr">
        <is>
          <t>CT</t>
        </is>
      </c>
      <c r="L121" s="29">
        <f>IF(J121="n/a","n/a",IFERROR(IF(ABS(INDEX(Lookups!$H$2:$H$5,MATCH(J121,Lookups!$G$2:$G$5,0))-INDEX(Lookups!$H$2:$H$5,MATCH(K121,Lookups!$G$2:$G$5,0)))&lt;=1,"Yes","No"),"Check"))</f>
        <v/>
      </c>
      <c r="M121" s="43" t="n">
        <v>183209.4</v>
      </c>
      <c r="N121" s="29" t="inlineStr">
        <is>
          <t>Yes</t>
        </is>
      </c>
      <c r="O121" s="39" t="n">
        <v>4</v>
      </c>
      <c r="P121" s="27" t="n"/>
      <c r="Q121" s="29">
        <f>IF(N121&lt;&gt;"Yes","n/a",IF(OR(AND(O121&lt;&gt;"",O121&gt;$W$1),P121="Y"),"Yes",IF(O121&lt;&gt;"","No","Pending")))</f>
        <v/>
      </c>
      <c r="R121" s="29" t="n"/>
      <c r="S121" s="29" t="inlineStr">
        <is>
          <t>Carolina Cambronero</t>
        </is>
      </c>
      <c r="T121" s="29" t="inlineStr">
        <is>
          <t>Local ENT</t>
        </is>
      </c>
      <c r="U121" s="29" t="inlineStr">
        <is>
          <t>Agenda &amp; Video, Customer Service, Engagement &amp; Sentiment, Forms &amp; Workflows</t>
        </is>
      </c>
      <c r="X121" s="19" t="inlineStr">
        <is>
          <t>C</t>
        </is>
      </c>
      <c r="Y121" s="19" t="n">
        <v>44.7</v>
      </c>
      <c r="Z121" s="44" t="n">
        <v>0.5</v>
      </c>
      <c r="AA121" s="51" t="n">
        <v>0.4682</v>
      </c>
      <c r="AB121" s="46" t="n">
        <v>3</v>
      </c>
      <c r="AC121" s="19" t="inlineStr">
        <is>
          <t>Defend</t>
        </is>
      </c>
      <c r="AD121" s="19" t="n">
        <v>0.5</v>
      </c>
      <c r="AE121" s="19" t="inlineStr">
        <is>
          <t>reported</t>
        </is>
      </c>
    </row>
    <row r="122" ht="15" customHeight="1" s="20">
      <c r="A122" s="29" t="inlineStr">
        <is>
          <t>Milwaukee, WI</t>
        </is>
      </c>
      <c r="B122" s="29" t="inlineStr">
        <is>
          <t>Milwaukee, WI</t>
        </is>
      </c>
      <c r="C122" s="29" t="inlineStr">
        <is>
          <t>WI</t>
        </is>
      </c>
      <c r="D122" s="29" t="inlineStr">
        <is>
          <t>Local ENT</t>
        </is>
      </c>
      <c r="E122" s="29" t="inlineStr">
        <is>
          <t>Tyler Carlson</t>
        </is>
      </c>
      <c r="F122" s="29" t="inlineStr">
        <is>
          <t>Brooke Minichino</t>
        </is>
      </c>
      <c r="G122" s="39" t="inlineStr">
        <is>
          <t>Brooke Minichino</t>
        </is>
      </c>
      <c r="H122" s="29">
        <f>IF(F122="(not in WIP)","New to Enterprise",IF(F122=G122,"No","Yes"))</f>
        <v/>
      </c>
      <c r="I122" s="29">
        <f>IFERROR(INDEX(Lookups!$B$2:$B$14,MATCH(G122,Lookups!$A$2:$A$14,0)),"Not found")</f>
        <v/>
      </c>
      <c r="J122" s="29">
        <f>IFERROR(INDEX(Lookups!$E$2:$E$14,MATCH(G122,Lookups!$A$2:$A$14,0)),"")</f>
        <v/>
      </c>
      <c r="K122" s="39" t="inlineStr">
        <is>
          <t>CT</t>
        </is>
      </c>
      <c r="L122" s="29">
        <f>IF(J122="n/a","n/a",IFERROR(IF(ABS(INDEX(Lookups!$H$2:$H$5,MATCH(J122,Lookups!$G$2:$G$5,0))-INDEX(Lookups!$H$2:$H$5,MATCH(K122,Lookups!$G$2:$G$5,0)))&lt;=1,"Yes","No"),"Check"))</f>
        <v/>
      </c>
      <c r="M122" s="43" t="n">
        <v>171842.49</v>
      </c>
      <c r="N122" s="29" t="inlineStr">
        <is>
          <t>Yes</t>
        </is>
      </c>
      <c r="O122" s="39" t="n">
        <v>5</v>
      </c>
      <c r="P122" s="27" t="n"/>
      <c r="Q122" s="29">
        <f>IF(N122&lt;&gt;"Yes","n/a",IF(OR(AND(O122&lt;&gt;"",O122&gt;$W$1),P122="Y"),"Yes",IF(O122&lt;&gt;"","No","Pending")))</f>
        <v/>
      </c>
      <c r="R122" s="29" t="n"/>
      <c r="S122" s="29" t="inlineStr">
        <is>
          <t>Carolina Cambronero</t>
        </is>
      </c>
      <c r="T122" s="29" t="inlineStr">
        <is>
          <t>Local ENT</t>
        </is>
      </c>
      <c r="U122" s="29" t="inlineStr">
        <is>
          <t>Agenda &amp; Video, Email &amp; SMS, Public Records Request, Short-term Rentals, Experience Agents</t>
        </is>
      </c>
      <c r="X122" s="19" t="inlineStr">
        <is>
          <t>C</t>
        </is>
      </c>
      <c r="Y122" s="19" t="n">
        <v>44.7</v>
      </c>
      <c r="Z122" s="44" t="n">
        <v>0.375</v>
      </c>
      <c r="AA122" s="51" t="n">
        <v>0.4182</v>
      </c>
      <c r="AB122" s="46" t="n">
        <v>3</v>
      </c>
      <c r="AC122" s="19" t="inlineStr">
        <is>
          <t>Defend</t>
        </is>
      </c>
      <c r="AD122" s="19" t="n">
        <v>0.5</v>
      </c>
      <c r="AE122" s="19" t="inlineStr">
        <is>
          <t>reported</t>
        </is>
      </c>
    </row>
    <row r="123" ht="15" customHeight="1" s="20">
      <c r="A123" s="29" t="inlineStr">
        <is>
          <t>Wisconsin Court System</t>
        </is>
      </c>
      <c r="B123" s="29" t="inlineStr">
        <is>
          <t>Wisconsin</t>
        </is>
      </c>
      <c r="C123" s="29" t="inlineStr">
        <is>
          <t>WI</t>
        </is>
      </c>
      <c r="D123" s="29" t="inlineStr">
        <is>
          <t>State</t>
        </is>
      </c>
      <c r="E123" s="29" t="inlineStr">
        <is>
          <t>Joe Spair</t>
        </is>
      </c>
      <c r="F123" s="29" t="inlineStr">
        <is>
          <t>Brooke Minichino</t>
        </is>
      </c>
      <c r="G123" s="39" t="inlineStr">
        <is>
          <t>Brooke Minichino</t>
        </is>
      </c>
      <c r="H123" s="29">
        <f>IF(F123="(not in WIP)","New to Enterprise",IF(F123=G123,"No","Yes"))</f>
        <v/>
      </c>
      <c r="I123" s="29">
        <f>IFERROR(INDEX(Lookups!$B$2:$B$14,MATCH(G123,Lookups!$A$2:$A$14,0)),"Not found")</f>
        <v/>
      </c>
      <c r="J123" s="29">
        <f>IFERROR(INDEX(Lookups!$E$2:$E$14,MATCH(G123,Lookups!$A$2:$A$14,0)),"")</f>
        <v/>
      </c>
      <c r="K123" s="39" t="inlineStr">
        <is>
          <t>CT</t>
        </is>
      </c>
      <c r="L123" s="29">
        <f>IF(J123="n/a","n/a",IFERROR(IF(ABS(INDEX(Lookups!$H$2:$H$5,MATCH(J123,Lookups!$G$2:$G$5,0))-INDEX(Lookups!$H$2:$H$5,MATCH(K123,Lookups!$G$2:$G$5,0)))&lt;=1,"Yes","No"),"Check"))</f>
        <v/>
      </c>
      <c r="M123" s="43" t="n">
        <v>26810.58</v>
      </c>
      <c r="N123" s="29" t="inlineStr">
        <is>
          <t>Yes</t>
        </is>
      </c>
      <c r="O123" s="39" t="n">
        <v>3</v>
      </c>
      <c r="P123" s="27" t="n"/>
      <c r="Q123" s="29">
        <f>IF(N123&lt;&gt;"Yes","n/a",IF(OR(AND(O123&lt;&gt;"",O123&gt;$W$1),P123="Y"),"Yes",IF(O123&lt;&gt;"","No","Pending")))</f>
        <v/>
      </c>
      <c r="R123" s="29" t="n"/>
      <c r="S123" s="29" t="inlineStr">
        <is>
          <t>Alejandro Solano</t>
        </is>
      </c>
      <c r="T123" s="29" t="inlineStr">
        <is>
          <t>State</t>
        </is>
      </c>
      <c r="U123" s="29" t="inlineStr">
        <is>
          <t>Email &amp; SMS, Engagement &amp; Sentiment, Recurring Services</t>
        </is>
      </c>
      <c r="X123" s="19" t="inlineStr">
        <is>
          <t>B</t>
        </is>
      </c>
      <c r="Y123" s="19" t="n">
        <v>57.8</v>
      </c>
      <c r="Z123" s="44" t="n">
        <v>0.625</v>
      </c>
      <c r="AA123" s="51" t="n">
        <v>0.5968</v>
      </c>
      <c r="AB123" s="49" t="n">
        <v>2</v>
      </c>
      <c r="AC123" s="19" t="inlineStr">
        <is>
          <t>Expansion</t>
        </is>
      </c>
      <c r="AD123" s="19" t="n">
        <v>0.8</v>
      </c>
      <c r="AE123" s="19" t="inlineStr">
        <is>
          <t>reported</t>
        </is>
      </c>
    </row>
    <row r="124" ht="15" customHeight="1" s="20">
      <c r="A124" s="29" t="inlineStr">
        <is>
          <t>Wisconsin Department of Public Instruction</t>
        </is>
      </c>
      <c r="B124" s="29" t="inlineStr">
        <is>
          <t>Wisconsin</t>
        </is>
      </c>
      <c r="C124" s="29" t="inlineStr">
        <is>
          <t>WI</t>
        </is>
      </c>
      <c r="D124" s="29" t="inlineStr">
        <is>
          <t>State</t>
        </is>
      </c>
      <c r="E124" s="29" t="inlineStr">
        <is>
          <t>Joe Spair</t>
        </is>
      </c>
      <c r="F124" s="29" t="inlineStr">
        <is>
          <t>Brooke Minichino</t>
        </is>
      </c>
      <c r="G124" s="39" t="inlineStr">
        <is>
          <t>Brooke Minichino</t>
        </is>
      </c>
      <c r="H124" s="29">
        <f>IF(F124="(not in WIP)","New to Enterprise",IF(F124=G124,"No","Yes"))</f>
        <v/>
      </c>
      <c r="I124" s="29">
        <f>IFERROR(INDEX(Lookups!$B$2:$B$14,MATCH(G124,Lookups!$A$2:$A$14,0)),"Not found")</f>
        <v/>
      </c>
      <c r="J124" s="29">
        <f>IFERROR(INDEX(Lookups!$E$2:$E$14,MATCH(G124,Lookups!$A$2:$A$14,0)),"")</f>
        <v/>
      </c>
      <c r="K124" s="39" t="inlineStr">
        <is>
          <t>CT</t>
        </is>
      </c>
      <c r="L124" s="29">
        <f>IF(J124="n/a","n/a",IFERROR(IF(ABS(INDEX(Lookups!$H$2:$H$5,MATCH(J124,Lookups!$G$2:$G$5,0))-INDEX(Lookups!$H$2:$H$5,MATCH(K124,Lookups!$G$2:$G$5,0)))&lt;=1,"Yes","No"),"Check"))</f>
        <v/>
      </c>
      <c r="M124" s="43" t="n">
        <v>26733.86</v>
      </c>
      <c r="N124" s="29" t="inlineStr">
        <is>
          <t>Yes</t>
        </is>
      </c>
      <c r="O124" s="39" t="n">
        <v>3</v>
      </c>
      <c r="P124" s="27" t="n"/>
      <c r="Q124" s="29">
        <f>IF(N124&lt;&gt;"Yes","n/a",IF(OR(AND(O124&lt;&gt;"",O124&gt;$W$1),P124="Y"),"Yes",IF(O124&lt;&gt;"","No","Pending")))</f>
        <v/>
      </c>
      <c r="R124" s="29" t="n"/>
      <c r="S124" s="29" t="inlineStr">
        <is>
          <t>Alejandro Solano</t>
        </is>
      </c>
      <c r="T124" s="29" t="inlineStr">
        <is>
          <t>State</t>
        </is>
      </c>
      <c r="U124" s="29" t="inlineStr">
        <is>
          <t>Email &amp; SMS, Engagement &amp; Sentiment, Recurring Services</t>
        </is>
      </c>
      <c r="X124" s="19" t="inlineStr">
        <is>
          <t>B</t>
        </is>
      </c>
      <c r="Y124" s="19" t="n">
        <v>57.8</v>
      </c>
      <c r="Z124" s="44" t="n">
        <v>0.625</v>
      </c>
      <c r="AA124" s="51" t="n">
        <v>0.5968</v>
      </c>
      <c r="AB124" s="49" t="n">
        <v>2</v>
      </c>
      <c r="AC124" s="19" t="inlineStr">
        <is>
          <t>Expansion</t>
        </is>
      </c>
      <c r="AD124" s="19" t="n">
        <v>0.8</v>
      </c>
      <c r="AE124" s="19" t="inlineStr">
        <is>
          <t>reported</t>
        </is>
      </c>
    </row>
    <row r="125" ht="15" customHeight="1" s="20">
      <c r="A125" s="29" t="inlineStr">
        <is>
          <t>San Antonio, TX</t>
        </is>
      </c>
      <c r="B125" s="29" t="inlineStr">
        <is>
          <t>San Antonio, TX</t>
        </is>
      </c>
      <c r="C125" s="29" t="inlineStr">
        <is>
          <t>TX</t>
        </is>
      </c>
      <c r="D125" s="29" t="inlineStr">
        <is>
          <t>Local ENT</t>
        </is>
      </c>
      <c r="E125" s="29" t="inlineStr">
        <is>
          <t>Cedric Simpkins</t>
        </is>
      </c>
      <c r="F125" s="29" t="inlineStr">
        <is>
          <t>Steffany Amador</t>
        </is>
      </c>
      <c r="G125" s="39" t="inlineStr">
        <is>
          <t>Steffany Amador</t>
        </is>
      </c>
      <c r="H125" s="29">
        <f>IF(F125="(not in WIP)","New to Enterprise",IF(F125=G125,"No","Yes"))</f>
        <v/>
      </c>
      <c r="I125" s="29">
        <f>IFERROR(INDEX(Lookups!$B$2:$B$14,MATCH(G125,Lookups!$A$2:$A$14,0)),"Not found")</f>
        <v/>
      </c>
      <c r="J125" s="29">
        <f>IFERROR(INDEX(Lookups!$E$2:$E$14,MATCH(G125,Lookups!$A$2:$A$14,0)),"")</f>
        <v/>
      </c>
      <c r="K125" s="39" t="inlineStr">
        <is>
          <t>CT</t>
        </is>
      </c>
      <c r="L125" s="29">
        <f>IF(J125="n/a","n/a",IFERROR(IF(ABS(INDEX(Lookups!$H$2:$H$5,MATCH(J125,Lookups!$G$2:$G$5,0))-INDEX(Lookups!$H$2:$H$5,MATCH(K125,Lookups!$G$2:$G$5,0)))&lt;=1,"Yes","No"),"Check"))</f>
        <v/>
      </c>
      <c r="M125" s="43" t="n">
        <v>756412.27</v>
      </c>
      <c r="N125" s="29" t="inlineStr">
        <is>
          <t>Yes</t>
        </is>
      </c>
      <c r="O125" s="39" t="n">
        <v>6</v>
      </c>
      <c r="P125" s="27" t="n"/>
      <c r="Q125" s="29">
        <f>IF(N125&lt;&gt;"Yes","n/a",IF(OR(AND(O125&lt;&gt;"",O125&gt;$W$1),P125="Y"),"Yes",IF(O125&lt;&gt;"","No","Pending")))</f>
        <v/>
      </c>
      <c r="R125" s="29" t="n"/>
      <c r="S125" s="29" t="inlineStr">
        <is>
          <t>Steffany Amador</t>
        </is>
      </c>
      <c r="T125" s="29" t="inlineStr">
        <is>
          <t>Local ENT</t>
        </is>
      </c>
      <c r="U125" s="29" t="inlineStr">
        <is>
          <t>Agenda &amp; Video, Engagement &amp; Sentiment, Forms &amp; Workflows, Public Records Request, Service Request Management, Websites, Portals, &amp; Intranets</t>
        </is>
      </c>
      <c r="X125" s="19" t="inlineStr">
        <is>
          <t>A</t>
        </is>
      </c>
      <c r="Y125" s="19" t="n">
        <v>63.1</v>
      </c>
      <c r="Z125" s="44" t="n">
        <v>0.25</v>
      </c>
      <c r="AA125" s="51" t="n">
        <v>0.4786</v>
      </c>
      <c r="AB125" s="46" t="n">
        <v>3</v>
      </c>
      <c r="AC125" s="19" t="inlineStr">
        <is>
          <t>Defend</t>
        </is>
      </c>
      <c r="AD125" s="19" t="n">
        <v>0.5</v>
      </c>
      <c r="AE125" s="19" t="inlineStr">
        <is>
          <t>reported</t>
        </is>
      </c>
    </row>
    <row r="126" ht="15" customHeight="1" s="20">
      <c r="A126" s="29" t="inlineStr">
        <is>
          <t>Pedernales Electric Cooperative</t>
        </is>
      </c>
      <c r="B126" s="29" t="inlineStr">
        <is>
          <t>Pedernales Electric Cooperative</t>
        </is>
      </c>
      <c r="C126" s="29" t="inlineStr">
        <is>
          <t>TX</t>
        </is>
      </c>
      <c r="D126" s="29" t="inlineStr">
        <is>
          <t>Local ENT</t>
        </is>
      </c>
      <c r="E126" s="29" t="inlineStr">
        <is>
          <t>Cedric Simpkins</t>
        </is>
      </c>
      <c r="F126" s="29" t="inlineStr">
        <is>
          <t>(not in WIP)</t>
        </is>
      </c>
      <c r="G126" s="39" t="inlineStr">
        <is>
          <t>Steffany Amador</t>
        </is>
      </c>
      <c r="H126" s="29">
        <f>IF(F126="(not in WIP)","New to Enterprise",IF(F126=G126,"No","Yes"))</f>
        <v/>
      </c>
      <c r="I126" s="29">
        <f>IFERROR(INDEX(Lookups!$B$2:$B$14,MATCH(G126,Lookups!$A$2:$A$14,0)),"Not found")</f>
        <v/>
      </c>
      <c r="J126" s="29">
        <f>IFERROR(INDEX(Lookups!$E$2:$E$14,MATCH(G126,Lookups!$A$2:$A$14,0)),"")</f>
        <v/>
      </c>
      <c r="K126" s="39" t="inlineStr">
        <is>
          <t>CT</t>
        </is>
      </c>
      <c r="L126" s="29">
        <f>IF(J126="n/a","n/a",IFERROR(IF(ABS(INDEX(Lookups!$H$2:$H$5,MATCH(J126,Lookups!$G$2:$G$5,0))-INDEX(Lookups!$H$2:$H$5,MATCH(K126,Lookups!$G$2:$G$5,0)))&lt;=1,"Yes","No"),"Check"))</f>
        <v/>
      </c>
      <c r="M126" s="43" t="n">
        <v>131088.1</v>
      </c>
      <c r="N126" s="29" t="inlineStr">
        <is>
          <t>Yes</t>
        </is>
      </c>
      <c r="O126" s="39" t="n">
        <v>2</v>
      </c>
      <c r="P126" s="27" t="n"/>
      <c r="Q126" s="29">
        <f>IF(N126&lt;&gt;"Yes","n/a",IF(OR(AND(O126&lt;&gt;"",O126&gt;$W$1),P126="Y"),"Yes",IF(O126&lt;&gt;"","No","Pending")))</f>
        <v/>
      </c>
      <c r="R126" s="29" t="n"/>
      <c r="S126" s="29" t="inlineStr">
        <is>
          <t>Natalia Sanchez</t>
        </is>
      </c>
      <c r="T126" s="29" t="inlineStr">
        <is>
          <t>Local ENT</t>
        </is>
      </c>
      <c r="U126" s="29" t="inlineStr">
        <is>
          <t>Agenda &amp; Video, Public Records Request</t>
        </is>
      </c>
      <c r="X126" s="19" t="inlineStr">
        <is>
          <t>A</t>
        </is>
      </c>
      <c r="Y126" s="19" t="n">
        <v>63.1</v>
      </c>
      <c r="Z126" s="44" t="n">
        <v>0.75</v>
      </c>
      <c r="AA126" s="51" t="n">
        <v>0.6786</v>
      </c>
      <c r="AB126" s="48" t="n">
        <v>1</v>
      </c>
      <c r="AC126" s="19" t="inlineStr">
        <is>
          <t>Growth engine</t>
        </is>
      </c>
      <c r="AD126" s="19" t="n">
        <v>1</v>
      </c>
      <c r="AE126" s="19" t="inlineStr">
        <is>
          <t>reported</t>
        </is>
      </c>
    </row>
    <row r="127" ht="15" customHeight="1" s="20">
      <c r="A127" s="29" t="inlineStr">
        <is>
          <t>VIA Metropolitan Transit</t>
        </is>
      </c>
      <c r="B127" s="29" t="inlineStr">
        <is>
          <t>Bexar County TX</t>
        </is>
      </c>
      <c r="C127" s="29" t="inlineStr">
        <is>
          <t>TX</t>
        </is>
      </c>
      <c r="D127" s="29" t="inlineStr">
        <is>
          <t>Local ENT</t>
        </is>
      </c>
      <c r="E127" s="29" t="inlineStr">
        <is>
          <t>Cedric Simpkins</t>
        </is>
      </c>
      <c r="F127" s="29" t="inlineStr">
        <is>
          <t>(not in WIP)</t>
        </is>
      </c>
      <c r="G127" s="39" t="inlineStr">
        <is>
          <t>Steffany Amador</t>
        </is>
      </c>
      <c r="H127" s="29">
        <f>IF(F127="(not in WIP)","New to Enterprise",IF(F127=G127,"No","Yes"))</f>
        <v/>
      </c>
      <c r="I127" s="29">
        <f>IFERROR(INDEX(Lookups!$B$2:$B$14,MATCH(G127,Lookups!$A$2:$A$14,0)),"Not found")</f>
        <v/>
      </c>
      <c r="J127" s="29">
        <f>IFERROR(INDEX(Lookups!$E$2:$E$14,MATCH(G127,Lookups!$A$2:$A$14,0)),"")</f>
        <v/>
      </c>
      <c r="K127" s="39" t="inlineStr">
        <is>
          <t>CT</t>
        </is>
      </c>
      <c r="L127" s="29">
        <f>IF(J127="n/a","n/a",IFERROR(IF(ABS(INDEX(Lookups!$H$2:$H$5,MATCH(J127,Lookups!$G$2:$G$5,0))-INDEX(Lookups!$H$2:$H$5,MATCH(K127,Lookups!$G$2:$G$5,0)))&lt;=1,"Yes","No"),"Check"))</f>
        <v/>
      </c>
      <c r="M127" s="43" t="n">
        <v>98314.78</v>
      </c>
      <c r="N127" s="29" t="inlineStr">
        <is>
          <t>Yes</t>
        </is>
      </c>
      <c r="O127" s="39" t="n">
        <v>1</v>
      </c>
      <c r="P127" s="27" t="n"/>
      <c r="Q127" s="29">
        <f>IF(N127&lt;&gt;"Yes","n/a",IF(OR(AND(O127&lt;&gt;"",O127&gt;$W$1),P127="Y"),"Yes",IF(O127&lt;&gt;"","No","Pending")))</f>
        <v/>
      </c>
      <c r="R127" s="29" t="n"/>
      <c r="S127" s="29" t="inlineStr">
        <is>
          <t>Carlos Torres</t>
        </is>
      </c>
      <c r="T127" s="29" t="inlineStr">
        <is>
          <t>Local ENT</t>
        </is>
      </c>
      <c r="U127" s="29" t="inlineStr">
        <is>
          <t>Agenda &amp; Video</t>
        </is>
      </c>
      <c r="X127" s="19" t="inlineStr">
        <is>
          <t>A</t>
        </is>
      </c>
      <c r="Y127" s="19" t="n">
        <v>63.1</v>
      </c>
      <c r="Z127" s="44" t="n">
        <v>0.875</v>
      </c>
      <c r="AA127" s="51" t="n">
        <v>0.7286</v>
      </c>
      <c r="AB127" s="48" t="n">
        <v>1</v>
      </c>
      <c r="AC127" s="19" t="inlineStr">
        <is>
          <t>Growth engine</t>
        </is>
      </c>
      <c r="AD127" s="19" t="n">
        <v>1</v>
      </c>
      <c r="AE127" s="19" t="inlineStr">
        <is>
          <t>reported</t>
        </is>
      </c>
    </row>
    <row r="128" ht="15" customHeight="1" s="20">
      <c r="A128" s="29" t="inlineStr">
        <is>
          <t>Texas Department of Motor Vehicles</t>
        </is>
      </c>
      <c r="B128" s="29" t="inlineStr">
        <is>
          <t>Texas Department of Motor Vehicles</t>
        </is>
      </c>
      <c r="C128" s="29" t="inlineStr">
        <is>
          <t>TX</t>
        </is>
      </c>
      <c r="D128" s="29" t="inlineStr">
        <is>
          <t>State</t>
        </is>
      </c>
      <c r="E128" s="29" t="inlineStr">
        <is>
          <t>No State AE shown (TX)</t>
        </is>
      </c>
      <c r="F128" s="29" t="inlineStr">
        <is>
          <t>Taylor Roman</t>
        </is>
      </c>
      <c r="G128" s="39" t="inlineStr">
        <is>
          <t>Steffany Amador</t>
        </is>
      </c>
      <c r="H128" s="29">
        <f>IF(F128="(not in WIP)","New to Enterprise",IF(F128=G128,"No","Yes"))</f>
        <v/>
      </c>
      <c r="I128" s="29">
        <f>IFERROR(INDEX(Lookups!$B$2:$B$14,MATCH(G128,Lookups!$A$2:$A$14,0)),"Not found")</f>
        <v/>
      </c>
      <c r="J128" s="29">
        <f>IFERROR(INDEX(Lookups!$E$2:$E$14,MATCH(G128,Lookups!$A$2:$A$14,0)),"")</f>
        <v/>
      </c>
      <c r="K128" s="39" t="inlineStr">
        <is>
          <t>CT</t>
        </is>
      </c>
      <c r="L128" s="29">
        <f>IF(J128="n/a","n/a",IFERROR(IF(ABS(INDEX(Lookups!$H$2:$H$5,MATCH(J128,Lookups!$G$2:$G$5,0))-INDEX(Lookups!$H$2:$H$5,MATCH(K128,Lookups!$G$2:$G$5,0)))&lt;=1,"Yes","No"),"Check"))</f>
        <v/>
      </c>
      <c r="M128" s="43" t="n">
        <v>330981.51</v>
      </c>
      <c r="N128" s="29" t="inlineStr">
        <is>
          <t>Yes</t>
        </is>
      </c>
      <c r="O128" s="39" t="n">
        <v>2</v>
      </c>
      <c r="P128" s="27" t="n"/>
      <c r="Q128" s="29">
        <f>IF(N128&lt;&gt;"Yes","n/a",IF(OR(AND(O128&lt;&gt;"",O128&gt;$W$1),P128="Y"),"Yes",IF(O128&lt;&gt;"","No","Pending")))</f>
        <v/>
      </c>
      <c r="R128" s="29" t="n"/>
      <c r="S128" s="29" t="inlineStr">
        <is>
          <t>Taylor Roman</t>
        </is>
      </c>
      <c r="T128" s="29" t="inlineStr">
        <is>
          <t>State</t>
        </is>
      </c>
      <c r="U128" s="29" t="inlineStr">
        <is>
          <t>Email &amp; SMS, Public Records Request</t>
        </is>
      </c>
      <c r="X128" s="19" t="inlineStr">
        <is>
          <t>A</t>
        </is>
      </c>
      <c r="Y128" s="19" t="n">
        <v>82.40000000000001</v>
      </c>
      <c r="Z128" s="44" t="n">
        <v>0.75</v>
      </c>
      <c r="AA128" s="51" t="n">
        <v>0.7944</v>
      </c>
      <c r="AB128" s="48" t="n">
        <v>1</v>
      </c>
      <c r="AC128" s="19" t="inlineStr">
        <is>
          <t>Growth engine</t>
        </is>
      </c>
      <c r="AD128" s="19" t="n">
        <v>1</v>
      </c>
      <c r="AE128" s="19" t="inlineStr">
        <is>
          <t>reported</t>
        </is>
      </c>
    </row>
    <row r="129" ht="15" customHeight="1" s="20">
      <c r="A129" s="29" t="inlineStr">
        <is>
          <t>Texas Department of Transportation (TXDOT)</t>
        </is>
      </c>
      <c r="B129" s="29" t="inlineStr">
        <is>
          <t>Texas</t>
        </is>
      </c>
      <c r="C129" s="29" t="inlineStr">
        <is>
          <t>TX</t>
        </is>
      </c>
      <c r="D129" s="29" t="inlineStr">
        <is>
          <t>State</t>
        </is>
      </c>
      <c r="E129" s="29" t="inlineStr">
        <is>
          <t>No State AE shown (TX)</t>
        </is>
      </c>
      <c r="F129" s="29" t="inlineStr">
        <is>
          <t>Taylor Roman</t>
        </is>
      </c>
      <c r="G129" s="39" t="inlineStr">
        <is>
          <t>Steffany Amador</t>
        </is>
      </c>
      <c r="H129" s="29">
        <f>IF(F129="(not in WIP)","New to Enterprise",IF(F129=G129,"No","Yes"))</f>
        <v/>
      </c>
      <c r="I129" s="29">
        <f>IFERROR(INDEX(Lookups!$B$2:$B$14,MATCH(G129,Lookups!$A$2:$A$14,0)),"Not found")</f>
        <v/>
      </c>
      <c r="J129" s="29">
        <f>IFERROR(INDEX(Lookups!$E$2:$E$14,MATCH(G129,Lookups!$A$2:$A$14,0)),"")</f>
        <v/>
      </c>
      <c r="K129" s="39" t="inlineStr">
        <is>
          <t>CT</t>
        </is>
      </c>
      <c r="L129" s="29">
        <f>IF(J129="n/a","n/a",IFERROR(IF(ABS(INDEX(Lookups!$H$2:$H$5,MATCH(J129,Lookups!$G$2:$G$5,0))-INDEX(Lookups!$H$2:$H$5,MATCH(K129,Lookups!$G$2:$G$5,0)))&lt;=1,"Yes","No"),"Check"))</f>
        <v/>
      </c>
      <c r="M129" s="43" t="n">
        <v>321374.86</v>
      </c>
      <c r="N129" s="29" t="inlineStr">
        <is>
          <t>Yes</t>
        </is>
      </c>
      <c r="O129" s="39" t="n">
        <v>3</v>
      </c>
      <c r="P129" s="27" t="n"/>
      <c r="Q129" s="29">
        <f>IF(N129&lt;&gt;"Yes","n/a",IF(OR(AND(O129&lt;&gt;"",O129&gt;$W$1),P129="Y"),"Yes",IF(O129&lt;&gt;"","No","Pending")))</f>
        <v/>
      </c>
      <c r="R129" s="29" t="n"/>
      <c r="S129" s="29" t="inlineStr">
        <is>
          <t>Taylor Roman</t>
        </is>
      </c>
      <c r="T129" s="29" t="inlineStr">
        <is>
          <t>State</t>
        </is>
      </c>
      <c r="U129" s="29" t="inlineStr">
        <is>
          <t>Agenda &amp; Video, Email &amp; SMS, Public Records Request</t>
        </is>
      </c>
      <c r="X129" s="19" t="inlineStr">
        <is>
          <t>A</t>
        </is>
      </c>
      <c r="Y129" s="19" t="n">
        <v>82.40000000000001</v>
      </c>
      <c r="Z129" s="44" t="n">
        <v>0.625</v>
      </c>
      <c r="AA129" s="51" t="n">
        <v>0.7444</v>
      </c>
      <c r="AB129" s="48" t="n">
        <v>1</v>
      </c>
      <c r="AC129" s="19" t="inlineStr">
        <is>
          <t>Growth engine</t>
        </is>
      </c>
      <c r="AD129" s="19" t="n">
        <v>1</v>
      </c>
      <c r="AE129" s="19" t="inlineStr">
        <is>
          <t>reported</t>
        </is>
      </c>
    </row>
    <row r="130" ht="15" customHeight="1" s="20">
      <c r="A130" s="29" t="inlineStr">
        <is>
          <t>Texas Department of Insurance</t>
        </is>
      </c>
      <c r="B130" s="29" t="inlineStr">
        <is>
          <t>Texas</t>
        </is>
      </c>
      <c r="C130" s="29" t="inlineStr">
        <is>
          <t>TX</t>
        </is>
      </c>
      <c r="D130" s="29" t="inlineStr">
        <is>
          <t>State</t>
        </is>
      </c>
      <c r="E130" s="29" t="inlineStr">
        <is>
          <t>No State AE shown (TX)</t>
        </is>
      </c>
      <c r="F130" s="29" t="inlineStr">
        <is>
          <t>Taylor Roman</t>
        </is>
      </c>
      <c r="G130" s="39" t="inlineStr">
        <is>
          <t>Steffany Amador</t>
        </is>
      </c>
      <c r="H130" s="29">
        <f>IF(F130="(not in WIP)","New to Enterprise",IF(F130=G130,"No","Yes"))</f>
        <v/>
      </c>
      <c r="I130" s="29">
        <f>IFERROR(INDEX(Lookups!$B$2:$B$14,MATCH(G130,Lookups!$A$2:$A$14,0)),"Not found")</f>
        <v/>
      </c>
      <c r="J130" s="29">
        <f>IFERROR(INDEX(Lookups!$E$2:$E$14,MATCH(G130,Lookups!$A$2:$A$14,0)),"")</f>
        <v/>
      </c>
      <c r="K130" s="39" t="inlineStr">
        <is>
          <t>CT</t>
        </is>
      </c>
      <c r="L130" s="29">
        <f>IF(J130="n/a","n/a",IFERROR(IF(ABS(INDEX(Lookups!$H$2:$H$5,MATCH(J130,Lookups!$G$2:$G$5,0))-INDEX(Lookups!$H$2:$H$5,MATCH(K130,Lookups!$G$2:$G$5,0)))&lt;=1,"Yes","No"),"Check"))</f>
        <v/>
      </c>
      <c r="M130" s="43" t="n">
        <v>259573.23</v>
      </c>
      <c r="N130" s="29" t="inlineStr">
        <is>
          <t>Yes</t>
        </is>
      </c>
      <c r="O130" s="39" t="n">
        <v>2</v>
      </c>
      <c r="P130" s="27" t="n"/>
      <c r="Q130" s="29">
        <f>IF(N130&lt;&gt;"Yes","n/a",IF(OR(AND(O130&lt;&gt;"",O130&gt;$W$1),P130="Y"),"Yes",IF(O130&lt;&gt;"","No","Pending")))</f>
        <v/>
      </c>
      <c r="R130" s="29" t="n"/>
      <c r="S130" s="29" t="inlineStr">
        <is>
          <t>Brooke Minichino</t>
        </is>
      </c>
      <c r="T130" s="29" t="inlineStr">
        <is>
          <t>State</t>
        </is>
      </c>
      <c r="U130" s="29" t="inlineStr">
        <is>
          <t>Email &amp; SMS, Public Records Request</t>
        </is>
      </c>
      <c r="X130" s="19" t="inlineStr">
        <is>
          <t>A</t>
        </is>
      </c>
      <c r="Y130" s="19" t="n">
        <v>82.40000000000001</v>
      </c>
      <c r="Z130" s="44" t="n">
        <v>0.75</v>
      </c>
      <c r="AA130" s="51" t="n">
        <v>0.7944</v>
      </c>
      <c r="AB130" s="48" t="n">
        <v>1</v>
      </c>
      <c r="AC130" s="19" t="inlineStr">
        <is>
          <t>Growth engine</t>
        </is>
      </c>
      <c r="AD130" s="19" t="n">
        <v>1</v>
      </c>
      <c r="AE130" s="19" t="inlineStr">
        <is>
          <t>reported</t>
        </is>
      </c>
    </row>
    <row r="131" ht="15" customHeight="1" s="20">
      <c r="A131" s="29" t="inlineStr">
        <is>
          <t>Texas Department of Licensing and Regulation</t>
        </is>
      </c>
      <c r="B131" s="29" t="inlineStr">
        <is>
          <t>Texas</t>
        </is>
      </c>
      <c r="C131" s="29" t="inlineStr">
        <is>
          <t>TX</t>
        </is>
      </c>
      <c r="D131" s="29" t="inlineStr">
        <is>
          <t>State</t>
        </is>
      </c>
      <c r="E131" s="29" t="inlineStr">
        <is>
          <t>No State AE shown (TX)</t>
        </is>
      </c>
      <c r="F131" s="29" t="inlineStr">
        <is>
          <t>Taylor Roman</t>
        </is>
      </c>
      <c r="G131" s="39" t="inlineStr">
        <is>
          <t>Steffany Amador</t>
        </is>
      </c>
      <c r="H131" s="29">
        <f>IF(F131="(not in WIP)","New to Enterprise",IF(F131=G131,"No","Yes"))</f>
        <v/>
      </c>
      <c r="I131" s="29">
        <f>IFERROR(INDEX(Lookups!$B$2:$B$14,MATCH(G131,Lookups!$A$2:$A$14,0)),"Not found")</f>
        <v/>
      </c>
      <c r="J131" s="29">
        <f>IFERROR(INDEX(Lookups!$E$2:$E$14,MATCH(G131,Lookups!$A$2:$A$14,0)),"")</f>
        <v/>
      </c>
      <c r="K131" s="39" t="inlineStr">
        <is>
          <t>CT</t>
        </is>
      </c>
      <c r="L131" s="29">
        <f>IF(J131="n/a","n/a",IFERROR(IF(ABS(INDEX(Lookups!$H$2:$H$5,MATCH(J131,Lookups!$G$2:$G$5,0))-INDEX(Lookups!$H$2:$H$5,MATCH(K131,Lookups!$G$2:$G$5,0)))&lt;=1,"Yes","No"),"Check"))</f>
        <v/>
      </c>
      <c r="M131" s="43" t="n">
        <v>226136.4</v>
      </c>
      <c r="N131" s="29" t="inlineStr">
        <is>
          <t>Yes</t>
        </is>
      </c>
      <c r="O131" s="39" t="n">
        <v>2</v>
      </c>
      <c r="P131" s="27" t="n"/>
      <c r="Q131" s="29">
        <f>IF(N131&lt;&gt;"Yes","n/a",IF(OR(AND(O131&lt;&gt;"",O131&gt;$W$1),P131="Y"),"Yes",IF(O131&lt;&gt;"","No","Pending")))</f>
        <v/>
      </c>
      <c r="R131" s="29" t="n"/>
      <c r="S131" s="29" t="inlineStr">
        <is>
          <t>Savannah Lane</t>
        </is>
      </c>
      <c r="T131" s="29" t="inlineStr">
        <is>
          <t>State</t>
        </is>
      </c>
      <c r="U131" s="29" t="inlineStr">
        <is>
          <t>Email &amp; SMS, Public Records Request</t>
        </is>
      </c>
      <c r="X131" s="19" t="inlineStr">
        <is>
          <t>A</t>
        </is>
      </c>
      <c r="Y131" s="19" t="n">
        <v>82.40000000000001</v>
      </c>
      <c r="Z131" s="44" t="n">
        <v>0.75</v>
      </c>
      <c r="AA131" s="51" t="n">
        <v>0.7944</v>
      </c>
      <c r="AB131" s="48" t="n">
        <v>1</v>
      </c>
      <c r="AC131" s="19" t="inlineStr">
        <is>
          <t>Growth engine</t>
        </is>
      </c>
      <c r="AD131" s="19" t="n">
        <v>1</v>
      </c>
      <c r="AE131" s="19" t="inlineStr">
        <is>
          <t>reported</t>
        </is>
      </c>
    </row>
    <row r="132" ht="15" customHeight="1" s="20">
      <c r="A132" s="29" t="inlineStr">
        <is>
          <t>Texas Workforce Commission</t>
        </is>
      </c>
      <c r="B132" s="29" t="inlineStr">
        <is>
          <t>Texas</t>
        </is>
      </c>
      <c r="C132" s="29" t="inlineStr">
        <is>
          <t>TX</t>
        </is>
      </c>
      <c r="D132" s="29" t="inlineStr">
        <is>
          <t>State</t>
        </is>
      </c>
      <c r="E132" s="29" t="inlineStr">
        <is>
          <t>No State AE shown (TX)</t>
        </is>
      </c>
      <c r="F132" s="29" t="inlineStr">
        <is>
          <t>Taylor Roman</t>
        </is>
      </c>
      <c r="G132" s="39" t="inlineStr">
        <is>
          <t>Steffany Amador</t>
        </is>
      </c>
      <c r="H132" s="29">
        <f>IF(F132="(not in WIP)","New to Enterprise",IF(F132=G132,"No","Yes"))</f>
        <v/>
      </c>
      <c r="I132" s="29">
        <f>IFERROR(INDEX(Lookups!$B$2:$B$14,MATCH(G132,Lookups!$A$2:$A$14,0)),"Not found")</f>
        <v/>
      </c>
      <c r="J132" s="29">
        <f>IFERROR(INDEX(Lookups!$E$2:$E$14,MATCH(G132,Lookups!$A$2:$A$14,0)),"")</f>
        <v/>
      </c>
      <c r="K132" s="39" t="inlineStr">
        <is>
          <t>CT</t>
        </is>
      </c>
      <c r="L132" s="29">
        <f>IF(J132="n/a","n/a",IFERROR(IF(ABS(INDEX(Lookups!$H$2:$H$5,MATCH(J132,Lookups!$G$2:$G$5,0))-INDEX(Lookups!$H$2:$H$5,MATCH(K132,Lookups!$G$2:$G$5,0)))&lt;=1,"Yes","No"),"Check"))</f>
        <v/>
      </c>
      <c r="M132" s="43" t="n">
        <v>225902.6</v>
      </c>
      <c r="N132" s="29" t="inlineStr">
        <is>
          <t>Yes</t>
        </is>
      </c>
      <c r="O132" s="39" t="n">
        <v>5</v>
      </c>
      <c r="P132" s="27" t="n"/>
      <c r="Q132" s="29">
        <f>IF(N132&lt;&gt;"Yes","n/a",IF(OR(AND(O132&lt;&gt;"",O132&gt;$W$1),P132="Y"),"Yes",IF(O132&lt;&gt;"","No","Pending")))</f>
        <v/>
      </c>
      <c r="R132" s="29" t="n"/>
      <c r="S132" s="29" t="inlineStr">
        <is>
          <t>Taylor Roman</t>
        </is>
      </c>
      <c r="T132" s="29" t="inlineStr">
        <is>
          <t>State</t>
        </is>
      </c>
      <c r="U132" s="29" t="inlineStr">
        <is>
          <t>Agenda &amp; Video, Email &amp; SMS, Engagement &amp; Sentiment, Public Records Request, Recurring Services</t>
        </is>
      </c>
      <c r="X132" s="19" t="inlineStr">
        <is>
          <t>A</t>
        </is>
      </c>
      <c r="Y132" s="19" t="n">
        <v>82.40000000000001</v>
      </c>
      <c r="Z132" s="44" t="n">
        <v>0.375</v>
      </c>
      <c r="AA132" s="51" t="n">
        <v>0.6444</v>
      </c>
      <c r="AB132" s="48" t="n">
        <v>1</v>
      </c>
      <c r="AC132" s="19" t="inlineStr">
        <is>
          <t>Growth engine</t>
        </is>
      </c>
      <c r="AD132" s="19" t="n">
        <v>1</v>
      </c>
      <c r="AE132" s="19" t="inlineStr">
        <is>
          <t>reported</t>
        </is>
      </c>
    </row>
    <row r="133" ht="15" customHeight="1" s="20">
      <c r="A133" s="29" t="inlineStr">
        <is>
          <t>Texas Health &amp; Human Services Commission</t>
        </is>
      </c>
      <c r="B133" s="29" t="inlineStr">
        <is>
          <t>Texas</t>
        </is>
      </c>
      <c r="C133" s="29" t="inlineStr">
        <is>
          <t>TX</t>
        </is>
      </c>
      <c r="D133" s="29" t="inlineStr">
        <is>
          <t>State</t>
        </is>
      </c>
      <c r="E133" s="29" t="inlineStr">
        <is>
          <t>No State AE shown (TX)</t>
        </is>
      </c>
      <c r="F133" s="29" t="inlineStr">
        <is>
          <t>Taylor Roman</t>
        </is>
      </c>
      <c r="G133" s="39" t="inlineStr">
        <is>
          <t>Steffany Amador</t>
        </is>
      </c>
      <c r="H133" s="29">
        <f>IF(F133="(not in WIP)","New to Enterprise",IF(F133=G133,"No","Yes"))</f>
        <v/>
      </c>
      <c r="I133" s="29">
        <f>IFERROR(INDEX(Lookups!$B$2:$B$14,MATCH(G133,Lookups!$A$2:$A$14,0)),"Not found")</f>
        <v/>
      </c>
      <c r="J133" s="29">
        <f>IFERROR(INDEX(Lookups!$E$2:$E$14,MATCH(G133,Lookups!$A$2:$A$14,0)),"")</f>
        <v/>
      </c>
      <c r="K133" s="39" t="inlineStr">
        <is>
          <t>CT</t>
        </is>
      </c>
      <c r="L133" s="29">
        <f>IF(J133="n/a","n/a",IFERROR(IF(ABS(INDEX(Lookups!$H$2:$H$5,MATCH(J133,Lookups!$G$2:$G$5,0))-INDEX(Lookups!$H$2:$H$5,MATCH(K133,Lookups!$G$2:$G$5,0)))&lt;=1,"Yes","No"),"Check"))</f>
        <v/>
      </c>
      <c r="M133" s="43" t="n">
        <v>174839.04</v>
      </c>
      <c r="N133" s="29" t="inlineStr">
        <is>
          <t>Yes</t>
        </is>
      </c>
      <c r="O133" s="39" t="n">
        <v>4</v>
      </c>
      <c r="P133" s="27" t="n"/>
      <c r="Q133" s="29">
        <f>IF(N133&lt;&gt;"Yes","n/a",IF(OR(AND(O133&lt;&gt;"",O133&gt;$W$1),P133="Y"),"Yes",IF(O133&lt;&gt;"","No","Pending")))</f>
        <v/>
      </c>
      <c r="R133" s="29" t="n"/>
      <c r="S133" s="29" t="inlineStr">
        <is>
          <t>Steffany Amador</t>
        </is>
      </c>
      <c r="T133" s="29" t="inlineStr">
        <is>
          <t>State</t>
        </is>
      </c>
      <c r="U133" s="29" t="inlineStr">
        <is>
          <t>Agenda &amp; Video, Email &amp; SMS, Engagement &amp; Sentiment, Recurring Services</t>
        </is>
      </c>
      <c r="X133" s="19" t="inlineStr">
        <is>
          <t>A</t>
        </is>
      </c>
      <c r="Y133" s="19" t="n">
        <v>82.40000000000001</v>
      </c>
      <c r="Z133" s="44" t="n">
        <v>0.5</v>
      </c>
      <c r="AA133" s="51" t="n">
        <v>0.6944</v>
      </c>
      <c r="AB133" s="48" t="n">
        <v>1</v>
      </c>
      <c r="AC133" s="19" t="inlineStr">
        <is>
          <t>Growth engine</t>
        </is>
      </c>
      <c r="AD133" s="19" t="n">
        <v>1</v>
      </c>
      <c r="AE133" s="19" t="inlineStr">
        <is>
          <t>reported</t>
        </is>
      </c>
    </row>
    <row r="134" ht="15" customHeight="1" s="20">
      <c r="A134" s="29" t="inlineStr">
        <is>
          <t>Texas Department of Public Safety</t>
        </is>
      </c>
      <c r="B134" s="29" t="inlineStr">
        <is>
          <t>Texas</t>
        </is>
      </c>
      <c r="C134" s="29" t="inlineStr">
        <is>
          <t>TX</t>
        </is>
      </c>
      <c r="D134" s="29" t="inlineStr">
        <is>
          <t>State</t>
        </is>
      </c>
      <c r="E134" s="29" t="inlineStr">
        <is>
          <t>No State AE shown (TX)</t>
        </is>
      </c>
      <c r="F134" s="29" t="inlineStr">
        <is>
          <t>Taylor Roman</t>
        </is>
      </c>
      <c r="G134" s="39" t="inlineStr">
        <is>
          <t>Steffany Amador</t>
        </is>
      </c>
      <c r="H134" s="29">
        <f>IF(F134="(not in WIP)","New to Enterprise",IF(F134=G134,"No","Yes"))</f>
        <v/>
      </c>
      <c r="I134" s="29">
        <f>IFERROR(INDEX(Lookups!$B$2:$B$14,MATCH(G134,Lookups!$A$2:$A$14,0)),"Not found")</f>
        <v/>
      </c>
      <c r="J134" s="29">
        <f>IFERROR(INDEX(Lookups!$E$2:$E$14,MATCH(G134,Lookups!$A$2:$A$14,0)),"")</f>
        <v/>
      </c>
      <c r="K134" s="39" t="inlineStr">
        <is>
          <t>CT</t>
        </is>
      </c>
      <c r="L134" s="29">
        <f>IF(J134="n/a","n/a",IFERROR(IF(ABS(INDEX(Lookups!$H$2:$H$5,MATCH(J134,Lookups!$G$2:$G$5,0))-INDEX(Lookups!$H$2:$H$5,MATCH(K134,Lookups!$G$2:$G$5,0)))&lt;=1,"Yes","No"),"Check"))</f>
        <v/>
      </c>
      <c r="M134" s="43" t="n">
        <v>138858.92</v>
      </c>
      <c r="N134" s="29" t="inlineStr">
        <is>
          <t>Yes</t>
        </is>
      </c>
      <c r="O134" s="39" t="n">
        <v>1</v>
      </c>
      <c r="P134" s="27" t="n"/>
      <c r="Q134" s="29">
        <f>IF(N134&lt;&gt;"Yes","n/a",IF(OR(AND(O134&lt;&gt;"",O134&gt;$W$1),P134="Y"),"Yes",IF(O134&lt;&gt;"","No","Pending")))</f>
        <v/>
      </c>
      <c r="R134" s="29" t="n"/>
      <c r="S134" s="29" t="inlineStr">
        <is>
          <t>Taylor Roman</t>
        </is>
      </c>
      <c r="T134" s="29" t="inlineStr">
        <is>
          <t>State</t>
        </is>
      </c>
      <c r="U134" s="29" t="inlineStr">
        <is>
          <t>Public Records Request</t>
        </is>
      </c>
      <c r="X134" s="19" t="inlineStr">
        <is>
          <t>A</t>
        </is>
      </c>
      <c r="Y134" s="19" t="n">
        <v>82.40000000000001</v>
      </c>
      <c r="Z134" s="44" t="n">
        <v>0.875</v>
      </c>
      <c r="AA134" s="51" t="n">
        <v>0.8444</v>
      </c>
      <c r="AB134" s="48" t="n">
        <v>1</v>
      </c>
      <c r="AC134" s="19" t="inlineStr">
        <is>
          <t>Growth engine</t>
        </is>
      </c>
      <c r="AD134" s="19" t="n">
        <v>1</v>
      </c>
      <c r="AE134" s="19" t="inlineStr">
        <is>
          <t>reported</t>
        </is>
      </c>
    </row>
    <row r="135" ht="15" customHeight="1" s="20">
      <c r="A135" s="29" t="inlineStr">
        <is>
          <t>Texas Commission on Law Enforcement</t>
        </is>
      </c>
      <c r="B135" s="29" t="inlineStr">
        <is>
          <t>Texas</t>
        </is>
      </c>
      <c r="C135" s="29" t="inlineStr">
        <is>
          <t>TX</t>
        </is>
      </c>
      <c r="D135" s="29" t="inlineStr">
        <is>
          <t>State</t>
        </is>
      </c>
      <c r="E135" s="29" t="inlineStr">
        <is>
          <t>No State AE shown (TX)</t>
        </is>
      </c>
      <c r="F135" s="29" t="inlineStr">
        <is>
          <t>Taylor Roman</t>
        </is>
      </c>
      <c r="G135" s="39" t="inlineStr">
        <is>
          <t>Steffany Amador</t>
        </is>
      </c>
      <c r="H135" s="29">
        <f>IF(F135="(not in WIP)","New to Enterprise",IF(F135=G135,"No","Yes"))</f>
        <v/>
      </c>
      <c r="I135" s="29">
        <f>IFERROR(INDEX(Lookups!$B$2:$B$14,MATCH(G135,Lookups!$A$2:$A$14,0)),"Not found")</f>
        <v/>
      </c>
      <c r="J135" s="29">
        <f>IFERROR(INDEX(Lookups!$E$2:$E$14,MATCH(G135,Lookups!$A$2:$A$14,0)),"")</f>
        <v/>
      </c>
      <c r="K135" s="39" t="inlineStr">
        <is>
          <t>CT</t>
        </is>
      </c>
      <c r="L135" s="29">
        <f>IF(J135="n/a","n/a",IFERROR(IF(ABS(INDEX(Lookups!$H$2:$H$5,MATCH(J135,Lookups!$G$2:$G$5,0))-INDEX(Lookups!$H$2:$H$5,MATCH(K135,Lookups!$G$2:$G$5,0)))&lt;=1,"Yes","No"),"Check"))</f>
        <v/>
      </c>
      <c r="M135" s="43" t="n">
        <v>120991.86</v>
      </c>
      <c r="N135" s="29" t="inlineStr">
        <is>
          <t>Yes</t>
        </is>
      </c>
      <c r="O135" s="39" t="n">
        <v>4</v>
      </c>
      <c r="P135" s="27" t="n"/>
      <c r="Q135" s="29">
        <f>IF(N135&lt;&gt;"Yes","n/a",IF(OR(AND(O135&lt;&gt;"",O135&gt;$W$1),P135="Y"),"Yes",IF(O135&lt;&gt;"","No","Pending")))</f>
        <v/>
      </c>
      <c r="R135" s="29" t="n"/>
      <c r="S135" s="29" t="inlineStr">
        <is>
          <t>Taylor Roman</t>
        </is>
      </c>
      <c r="T135" s="29" t="inlineStr">
        <is>
          <t>State</t>
        </is>
      </c>
      <c r="U135" s="29" t="inlineStr">
        <is>
          <t>Email &amp; SMS, Engagement &amp; Sentiment, Public Records Request, Recurring Services</t>
        </is>
      </c>
      <c r="X135" s="19" t="inlineStr">
        <is>
          <t>A</t>
        </is>
      </c>
      <c r="Y135" s="19" t="n">
        <v>82.40000000000001</v>
      </c>
      <c r="Z135" s="44" t="n">
        <v>0.5</v>
      </c>
      <c r="AA135" s="51" t="n">
        <v>0.6944</v>
      </c>
      <c r="AB135" s="48" t="n">
        <v>1</v>
      </c>
      <c r="AC135" s="19" t="inlineStr">
        <is>
          <t>Growth engine</t>
        </is>
      </c>
      <c r="AD135" s="19" t="n">
        <v>1</v>
      </c>
      <c r="AE135" s="19" t="inlineStr">
        <is>
          <t>reported</t>
        </is>
      </c>
    </row>
    <row r="136" ht="15" customHeight="1" s="20">
      <c r="A136" s="29" t="inlineStr">
        <is>
          <t>Texas Higher Education Coordinating Board</t>
        </is>
      </c>
      <c r="B136" s="29" t="inlineStr">
        <is>
          <t>Texas</t>
        </is>
      </c>
      <c r="C136" s="29" t="inlineStr">
        <is>
          <t>TX</t>
        </is>
      </c>
      <c r="D136" s="29" t="inlineStr">
        <is>
          <t>State</t>
        </is>
      </c>
      <c r="E136" s="29" t="inlineStr">
        <is>
          <t>No State AE shown (TX)</t>
        </is>
      </c>
      <c r="F136" s="29" t="inlineStr">
        <is>
          <t>Taylor Roman</t>
        </is>
      </c>
      <c r="G136" s="39" t="inlineStr">
        <is>
          <t>Steffany Amador</t>
        </is>
      </c>
      <c r="H136" s="29">
        <f>IF(F136="(not in WIP)","New to Enterprise",IF(F136=G136,"No","Yes"))</f>
        <v/>
      </c>
      <c r="I136" s="29">
        <f>IFERROR(INDEX(Lookups!$B$2:$B$14,MATCH(G136,Lookups!$A$2:$A$14,0)),"Not found")</f>
        <v/>
      </c>
      <c r="J136" s="29">
        <f>IFERROR(INDEX(Lookups!$E$2:$E$14,MATCH(G136,Lookups!$A$2:$A$14,0)),"")</f>
        <v/>
      </c>
      <c r="K136" s="39" t="inlineStr">
        <is>
          <t>CT</t>
        </is>
      </c>
      <c r="L136" s="29">
        <f>IF(J136="n/a","n/a",IFERROR(IF(ABS(INDEX(Lookups!$H$2:$H$5,MATCH(J136,Lookups!$G$2:$G$5,0))-INDEX(Lookups!$H$2:$H$5,MATCH(K136,Lookups!$G$2:$G$5,0)))&lt;=1,"Yes","No"),"Check"))</f>
        <v/>
      </c>
      <c r="M136" s="43" t="n">
        <v>89925.24000000001</v>
      </c>
      <c r="N136" s="29" t="inlineStr">
        <is>
          <t>Yes</t>
        </is>
      </c>
      <c r="O136" s="39" t="n">
        <v>2</v>
      </c>
      <c r="P136" s="27" t="n"/>
      <c r="Q136" s="29">
        <f>IF(N136&lt;&gt;"Yes","n/a",IF(OR(AND(O136&lt;&gt;"",O136&gt;$W$1),P136="Y"),"Yes",IF(O136&lt;&gt;"","No","Pending")))</f>
        <v/>
      </c>
      <c r="R136" s="29" t="n"/>
      <c r="S136" s="29" t="inlineStr">
        <is>
          <t>Kerrian Dailey</t>
        </is>
      </c>
      <c r="T136" s="29" t="inlineStr">
        <is>
          <t>State</t>
        </is>
      </c>
      <c r="U136" s="29" t="inlineStr">
        <is>
          <t>Email &amp; SMS, Public Records Request</t>
        </is>
      </c>
      <c r="X136" s="19" t="inlineStr">
        <is>
          <t>A</t>
        </is>
      </c>
      <c r="Y136" s="19" t="n">
        <v>82.40000000000001</v>
      </c>
      <c r="Z136" s="44" t="n">
        <v>0.75</v>
      </c>
      <c r="AA136" s="51" t="n">
        <v>0.7944</v>
      </c>
      <c r="AB136" s="49" t="n">
        <v>2</v>
      </c>
      <c r="AC136" s="19" t="inlineStr">
        <is>
          <t>Expansion</t>
        </is>
      </c>
      <c r="AD136" s="19" t="n">
        <v>0.8</v>
      </c>
      <c r="AE136" s="19" t="inlineStr">
        <is>
          <t>reported</t>
        </is>
      </c>
    </row>
    <row r="137" ht="15" customHeight="1" s="20">
      <c r="A137" s="29" t="inlineStr">
        <is>
          <t>Texas Division of Emergency Management</t>
        </is>
      </c>
      <c r="B137" s="29" t="inlineStr">
        <is>
          <t>Texas</t>
        </is>
      </c>
      <c r="C137" s="29" t="inlineStr">
        <is>
          <t>TX</t>
        </is>
      </c>
      <c r="D137" s="29" t="inlineStr">
        <is>
          <t>State</t>
        </is>
      </c>
      <c r="E137" s="29" t="inlineStr">
        <is>
          <t>No State AE shown (TX)</t>
        </is>
      </c>
      <c r="F137" s="29" t="inlineStr">
        <is>
          <t>Taylor Roman</t>
        </is>
      </c>
      <c r="G137" s="39" t="inlineStr">
        <is>
          <t>Steffany Amador</t>
        </is>
      </c>
      <c r="H137" s="29">
        <f>IF(F137="(not in WIP)","New to Enterprise",IF(F137=G137,"No","Yes"))</f>
        <v/>
      </c>
      <c r="I137" s="29">
        <f>IFERROR(INDEX(Lookups!$B$2:$B$14,MATCH(G137,Lookups!$A$2:$A$14,0)),"Not found")</f>
        <v/>
      </c>
      <c r="J137" s="29">
        <f>IFERROR(INDEX(Lookups!$E$2:$E$14,MATCH(G137,Lookups!$A$2:$A$14,0)),"")</f>
        <v/>
      </c>
      <c r="K137" s="39" t="inlineStr">
        <is>
          <t>CT</t>
        </is>
      </c>
      <c r="L137" s="29">
        <f>IF(J137="n/a","n/a",IFERROR(IF(ABS(INDEX(Lookups!$H$2:$H$5,MATCH(J137,Lookups!$G$2:$G$5,0))-INDEX(Lookups!$H$2:$H$5,MATCH(K137,Lookups!$G$2:$G$5,0)))&lt;=1,"Yes","No"),"Check"))</f>
        <v/>
      </c>
      <c r="M137" s="43" t="n">
        <v>40762.17</v>
      </c>
      <c r="N137" s="29" t="inlineStr">
        <is>
          <t>Yes</t>
        </is>
      </c>
      <c r="O137" s="39" t="n">
        <v>2</v>
      </c>
      <c r="P137" s="27" t="n"/>
      <c r="Q137" s="29">
        <f>IF(N137&lt;&gt;"Yes","n/a",IF(OR(AND(O137&lt;&gt;"",O137&gt;$W$1),P137="Y"),"Yes",IF(O137&lt;&gt;"","No","Pending")))</f>
        <v/>
      </c>
      <c r="R137" s="29" t="n"/>
      <c r="S137" s="29" t="inlineStr">
        <is>
          <t>Kerrian Dailey</t>
        </is>
      </c>
      <c r="T137" s="29" t="inlineStr">
        <is>
          <t>State</t>
        </is>
      </c>
      <c r="U137" s="29" t="inlineStr">
        <is>
          <t>Email &amp; SMS, Public Records Request</t>
        </is>
      </c>
      <c r="X137" s="19" t="inlineStr">
        <is>
          <t>A</t>
        </is>
      </c>
      <c r="Y137" s="19" t="n">
        <v>82.40000000000001</v>
      </c>
      <c r="Z137" s="44" t="n">
        <v>0.75</v>
      </c>
      <c r="AA137" s="51" t="n">
        <v>0.7944</v>
      </c>
      <c r="AB137" s="49" t="n">
        <v>2</v>
      </c>
      <c r="AC137" s="19" t="inlineStr">
        <is>
          <t>Expansion</t>
        </is>
      </c>
      <c r="AD137" s="19" t="n">
        <v>0.8</v>
      </c>
      <c r="AE137" s="19" t="inlineStr">
        <is>
          <t>reported</t>
        </is>
      </c>
    </row>
    <row r="138" ht="15" customHeight="1" s="20">
      <c r="A138" s="29" t="inlineStr">
        <is>
          <t>Texas Ethics Commission</t>
        </is>
      </c>
      <c r="B138" s="29" t="inlineStr">
        <is>
          <t>Texas</t>
        </is>
      </c>
      <c r="C138" s="29" t="inlineStr">
        <is>
          <t>TX</t>
        </is>
      </c>
      <c r="D138" s="29" t="inlineStr">
        <is>
          <t>State</t>
        </is>
      </c>
      <c r="E138" s="29" t="inlineStr">
        <is>
          <t>No State AE shown (TX)</t>
        </is>
      </c>
      <c r="F138" s="29" t="inlineStr">
        <is>
          <t>Taylor Roman</t>
        </is>
      </c>
      <c r="G138" s="39" t="inlineStr">
        <is>
          <t>Steffany Amador</t>
        </is>
      </c>
      <c r="H138" s="29">
        <f>IF(F138="(not in WIP)","New to Enterprise",IF(F138=G138,"No","Yes"))</f>
        <v/>
      </c>
      <c r="I138" s="29">
        <f>IFERROR(INDEX(Lookups!$B$2:$B$14,MATCH(G138,Lookups!$A$2:$A$14,0)),"Not found")</f>
        <v/>
      </c>
      <c r="J138" s="29">
        <f>IFERROR(INDEX(Lookups!$E$2:$E$14,MATCH(G138,Lookups!$A$2:$A$14,0)),"")</f>
        <v/>
      </c>
      <c r="K138" s="39" t="inlineStr">
        <is>
          <t>CT</t>
        </is>
      </c>
      <c r="L138" s="29">
        <f>IF(J138="n/a","n/a",IFERROR(IF(ABS(INDEX(Lookups!$H$2:$H$5,MATCH(J138,Lookups!$G$2:$G$5,0))-INDEX(Lookups!$H$2:$H$5,MATCH(K138,Lookups!$G$2:$G$5,0)))&lt;=1,"Yes","No"),"Check"))</f>
        <v/>
      </c>
      <c r="M138" s="43" t="n">
        <v>29497.5</v>
      </c>
      <c r="N138" s="29" t="inlineStr">
        <is>
          <t>Yes</t>
        </is>
      </c>
      <c r="O138" s="39" t="n">
        <v>1</v>
      </c>
      <c r="P138" s="27" t="n"/>
      <c r="Q138" s="29">
        <f>IF(N138&lt;&gt;"Yes","n/a",IF(OR(AND(O138&lt;&gt;"",O138&gt;$W$1),P138="Y"),"Yes",IF(O138&lt;&gt;"","No","Pending")))</f>
        <v/>
      </c>
      <c r="R138" s="29" t="n"/>
      <c r="S138" s="29" t="inlineStr">
        <is>
          <t>Natalia Sanchez</t>
        </is>
      </c>
      <c r="T138" s="29" t="inlineStr">
        <is>
          <t>State</t>
        </is>
      </c>
      <c r="U138" s="29" t="inlineStr">
        <is>
          <t>Public Records Request</t>
        </is>
      </c>
      <c r="X138" s="19" t="inlineStr">
        <is>
          <t>A</t>
        </is>
      </c>
      <c r="Y138" s="19" t="n">
        <v>82.40000000000001</v>
      </c>
      <c r="Z138" s="44" t="n">
        <v>0.875</v>
      </c>
      <c r="AA138" s="51" t="n">
        <v>0.8444</v>
      </c>
      <c r="AB138" s="49" t="n">
        <v>2</v>
      </c>
      <c r="AC138" s="19" t="inlineStr">
        <is>
          <t>Expansion</t>
        </is>
      </c>
      <c r="AD138" s="19" t="n">
        <v>0.8</v>
      </c>
      <c r="AE138" s="19" t="inlineStr">
        <is>
          <t>reported</t>
        </is>
      </c>
    </row>
    <row r="139" ht="15" customHeight="1" s="20">
      <c r="A139" s="29" t="inlineStr">
        <is>
          <t>Texas Lottery Commission</t>
        </is>
      </c>
      <c r="B139" s="29" t="inlineStr">
        <is>
          <t>Texas</t>
        </is>
      </c>
      <c r="C139" s="29" t="inlineStr">
        <is>
          <t>TX</t>
        </is>
      </c>
      <c r="D139" s="29" t="inlineStr">
        <is>
          <t>State</t>
        </is>
      </c>
      <c r="E139" s="29" t="inlineStr">
        <is>
          <t>No State AE shown (TX)</t>
        </is>
      </c>
      <c r="F139" s="29" t="inlineStr">
        <is>
          <t>Taylor Roman</t>
        </is>
      </c>
      <c r="G139" s="39" t="inlineStr">
        <is>
          <t>Steffany Amador</t>
        </is>
      </c>
      <c r="H139" s="29">
        <f>IF(F139="(not in WIP)","New to Enterprise",IF(F139=G139,"No","Yes"))</f>
        <v/>
      </c>
      <c r="I139" s="29">
        <f>IFERROR(INDEX(Lookups!$B$2:$B$14,MATCH(G139,Lookups!$A$2:$A$14,0)),"Not found")</f>
        <v/>
      </c>
      <c r="J139" s="29">
        <f>IFERROR(INDEX(Lookups!$E$2:$E$14,MATCH(G139,Lookups!$A$2:$A$14,0)),"")</f>
        <v/>
      </c>
      <c r="K139" s="39" t="inlineStr">
        <is>
          <t>CT</t>
        </is>
      </c>
      <c r="L139" s="29">
        <f>IF(J139="n/a","n/a",IFERROR(IF(ABS(INDEX(Lookups!$H$2:$H$5,MATCH(J139,Lookups!$G$2:$G$5,0))-INDEX(Lookups!$H$2:$H$5,MATCH(K139,Lookups!$G$2:$G$5,0)))&lt;=1,"Yes","No"),"Check"))</f>
        <v/>
      </c>
      <c r="M139" s="43" t="n">
        <v>28897.72</v>
      </c>
      <c r="N139" s="29" t="inlineStr">
        <is>
          <t>Yes</t>
        </is>
      </c>
      <c r="O139" s="39" t="n">
        <v>0</v>
      </c>
      <c r="P139" s="27" t="n"/>
      <c r="Q139" s="29">
        <f>IF(N139&lt;&gt;"Yes","n/a",IF(OR(AND(O139&lt;&gt;"",O139&gt;$W$1),P139="Y"),"Yes",IF(O139&lt;&gt;"","No","Pending")))</f>
        <v/>
      </c>
      <c r="R139" s="29" t="n"/>
      <c r="S139" s="29" t="inlineStr">
        <is>
          <t>Savannah Lane</t>
        </is>
      </c>
      <c r="T139" s="29" t="inlineStr">
        <is>
          <t>State</t>
        </is>
      </c>
      <c r="U139" s="29" t="n"/>
      <c r="X139" s="19" t="inlineStr">
        <is>
          <t>A</t>
        </is>
      </c>
      <c r="Y139" s="19" t="n">
        <v>82.40000000000001</v>
      </c>
      <c r="Z139" s="44" t="n">
        <v>0.75</v>
      </c>
      <c r="AA139" s="51" t="n">
        <v>0.7944</v>
      </c>
      <c r="AB139" s="49" t="n">
        <v>2</v>
      </c>
      <c r="AC139" s="19" t="inlineStr">
        <is>
          <t>Expansion</t>
        </is>
      </c>
      <c r="AD139" s="19" t="n">
        <v>0.8</v>
      </c>
      <c r="AE139" s="19" t="inlineStr">
        <is>
          <t>imputed</t>
        </is>
      </c>
    </row>
    <row r="140" ht="15" customHeight="1" s="20">
      <c r="A140" s="29" t="inlineStr">
        <is>
          <t>Texas Board of Nursing</t>
        </is>
      </c>
      <c r="B140" s="29" t="inlineStr">
        <is>
          <t>Texas</t>
        </is>
      </c>
      <c r="C140" s="29" t="inlineStr">
        <is>
          <t>TX</t>
        </is>
      </c>
      <c r="D140" s="29" t="inlineStr">
        <is>
          <t>State</t>
        </is>
      </c>
      <c r="E140" s="29" t="inlineStr">
        <is>
          <t>No State AE shown (TX)</t>
        </is>
      </c>
      <c r="F140" s="29" t="inlineStr">
        <is>
          <t>Taylor Roman</t>
        </is>
      </c>
      <c r="G140" s="39" t="inlineStr">
        <is>
          <t>Steffany Amador</t>
        </is>
      </c>
      <c r="H140" s="29">
        <f>IF(F140="(not in WIP)","New to Enterprise",IF(F140=G140,"No","Yes"))</f>
        <v/>
      </c>
      <c r="I140" s="29">
        <f>IFERROR(INDEX(Lookups!$B$2:$B$14,MATCH(G140,Lookups!$A$2:$A$14,0)),"Not found")</f>
        <v/>
      </c>
      <c r="J140" s="29">
        <f>IFERROR(INDEX(Lookups!$E$2:$E$14,MATCH(G140,Lookups!$A$2:$A$14,0)),"")</f>
        <v/>
      </c>
      <c r="K140" s="39" t="inlineStr">
        <is>
          <t>CT</t>
        </is>
      </c>
      <c r="L140" s="29">
        <f>IF(J140="n/a","n/a",IFERROR(IF(ABS(INDEX(Lookups!$H$2:$H$5,MATCH(J140,Lookups!$G$2:$G$5,0))-INDEX(Lookups!$H$2:$H$5,MATCH(K140,Lookups!$G$2:$G$5,0)))&lt;=1,"Yes","No"),"Check"))</f>
        <v/>
      </c>
      <c r="M140" s="43" t="n">
        <v>25883.03</v>
      </c>
      <c r="N140" s="29" t="inlineStr">
        <is>
          <t>Yes</t>
        </is>
      </c>
      <c r="O140" s="39" t="n">
        <v>5</v>
      </c>
      <c r="P140" s="27" t="n"/>
      <c r="Q140" s="29">
        <f>IF(N140&lt;&gt;"Yes","n/a",IF(OR(AND(O140&lt;&gt;"",O140&gt;$W$1),P140="Y"),"Yes",IF(O140&lt;&gt;"","No","Pending")))</f>
        <v/>
      </c>
      <c r="R140" s="29" t="n"/>
      <c r="S140" s="29" t="inlineStr">
        <is>
          <t>Kerrian Dailey</t>
        </is>
      </c>
      <c r="T140" s="29" t="inlineStr">
        <is>
          <t>State</t>
        </is>
      </c>
      <c r="U140" s="29" t="inlineStr">
        <is>
          <t>Email &amp; SMS, Engagement &amp; Sentiment, Forms &amp; Workflows, Recurring Services, Websites, Portals, &amp; Intranets</t>
        </is>
      </c>
      <c r="X140" s="19" t="inlineStr">
        <is>
          <t>A</t>
        </is>
      </c>
      <c r="Y140" s="19" t="n">
        <v>82.40000000000001</v>
      </c>
      <c r="Z140" s="44" t="n">
        <v>0.375</v>
      </c>
      <c r="AA140" s="51" t="n">
        <v>0.6444</v>
      </c>
      <c r="AB140" s="49" t="n">
        <v>2</v>
      </c>
      <c r="AC140" s="19" t="inlineStr">
        <is>
          <t>Expansion</t>
        </is>
      </c>
      <c r="AD140" s="19" t="n">
        <v>0.8</v>
      </c>
      <c r="AE140" s="19" t="inlineStr">
        <is>
          <t>reported</t>
        </is>
      </c>
    </row>
    <row r="141" ht="15" customHeight="1" s="20">
      <c r="A141" s="29" t="inlineStr">
        <is>
          <t>Texas Charitable Bingo</t>
        </is>
      </c>
      <c r="B141" s="29" t="inlineStr">
        <is>
          <t>Texas</t>
        </is>
      </c>
      <c r="C141" s="29" t="inlineStr">
        <is>
          <t>TX</t>
        </is>
      </c>
      <c r="D141" s="29" t="inlineStr">
        <is>
          <t>State</t>
        </is>
      </c>
      <c r="E141" s="29" t="inlineStr">
        <is>
          <t>No State AE shown (TX)</t>
        </is>
      </c>
      <c r="F141" s="29" t="inlineStr">
        <is>
          <t>Taylor Roman</t>
        </is>
      </c>
      <c r="G141" s="39" t="inlineStr">
        <is>
          <t>Steffany Amador</t>
        </is>
      </c>
      <c r="H141" s="29">
        <f>IF(F141="(not in WIP)","New to Enterprise",IF(F141=G141,"No","Yes"))</f>
        <v/>
      </c>
      <c r="I141" s="29">
        <f>IFERROR(INDEX(Lookups!$B$2:$B$14,MATCH(G141,Lookups!$A$2:$A$14,0)),"Not found")</f>
        <v/>
      </c>
      <c r="J141" s="29">
        <f>IFERROR(INDEX(Lookups!$E$2:$E$14,MATCH(G141,Lookups!$A$2:$A$14,0)),"")</f>
        <v/>
      </c>
      <c r="K141" s="39" t="inlineStr">
        <is>
          <t>CT</t>
        </is>
      </c>
      <c r="L141" s="29">
        <f>IF(J141="n/a","n/a",IFERROR(IF(ABS(INDEX(Lookups!$H$2:$H$5,MATCH(J141,Lookups!$G$2:$G$5,0))-INDEX(Lookups!$H$2:$H$5,MATCH(K141,Lookups!$G$2:$G$5,0)))&lt;=1,"Yes","No"),"Check"))</f>
        <v/>
      </c>
      <c r="M141" s="43" t="n">
        <v>0</v>
      </c>
      <c r="N141" s="29" t="inlineStr">
        <is>
          <t>No (Allocated)</t>
        </is>
      </c>
      <c r="O141" s="39" t="n">
        <v>0</v>
      </c>
      <c r="P141" s="27" t="n"/>
      <c r="Q141" s="29">
        <f>IF(N141&lt;&gt;"Yes","n/a",IF(OR(AND(O141&lt;&gt;"",O141&gt;$W$1),P141="Y"),"Yes",IF(O141&lt;&gt;"","No","Pending")))</f>
        <v/>
      </c>
      <c r="R141" s="29" t="n"/>
      <c r="S141" s="29" t="inlineStr">
        <is>
          <t>Savannah Lane</t>
        </is>
      </c>
      <c r="T141" s="29" t="inlineStr">
        <is>
          <t>State</t>
        </is>
      </c>
      <c r="U141" s="29" t="n"/>
      <c r="X141" s="19" t="inlineStr">
        <is>
          <t>A</t>
        </is>
      </c>
      <c r="Y141" s="19" t="n">
        <v>82.40000000000001</v>
      </c>
      <c r="Z141" s="44" t="n">
        <v>0.75</v>
      </c>
      <c r="AA141" s="51" t="n">
        <v>0.7944</v>
      </c>
      <c r="AB141" s="49" t="n">
        <v>2</v>
      </c>
      <c r="AC141" s="19" t="inlineStr">
        <is>
          <t>Expansion</t>
        </is>
      </c>
      <c r="AD141" s="19" t="n">
        <v>0</v>
      </c>
      <c r="AE141" s="19" t="inlineStr">
        <is>
          <t>imputed</t>
        </is>
      </c>
    </row>
    <row r="142" ht="15" customHeight="1" s="20">
      <c r="A142" s="29" t="inlineStr">
        <is>
          <t>Connecticut Department of Administrative Services</t>
        </is>
      </c>
      <c r="B142" s="29" t="inlineStr">
        <is>
          <t>Connecticut</t>
        </is>
      </c>
      <c r="C142" s="29" t="inlineStr">
        <is>
          <t>CT</t>
        </is>
      </c>
      <c r="D142" s="29" t="inlineStr">
        <is>
          <t>State</t>
        </is>
      </c>
      <c r="E142" s="29" t="inlineStr">
        <is>
          <t>Stephanie DelSignore</t>
        </is>
      </c>
      <c r="F142" s="29" t="inlineStr">
        <is>
          <t>Halena Martin</t>
        </is>
      </c>
      <c r="G142" s="39" t="inlineStr">
        <is>
          <t>Halena Martin</t>
        </is>
      </c>
      <c r="H142" s="29">
        <f>IF(F142="(not in WIP)","New to Enterprise",IF(F142=G142,"No","Yes"))</f>
        <v/>
      </c>
      <c r="I142" s="29">
        <f>IFERROR(INDEX(Lookups!$B$2:$B$14,MATCH(G142,Lookups!$A$2:$A$14,0)),"Not found")</f>
        <v/>
      </c>
      <c r="J142" s="29">
        <f>IFERROR(INDEX(Lookups!$E$2:$E$14,MATCH(G142,Lookups!$A$2:$A$14,0)),"")</f>
        <v/>
      </c>
      <c r="K142" s="39" t="inlineStr">
        <is>
          <t>ET</t>
        </is>
      </c>
      <c r="L142" s="29">
        <f>IF(J142="n/a","n/a",IFERROR(IF(ABS(INDEX(Lookups!$H$2:$H$5,MATCH(J142,Lookups!$G$2:$G$5,0))-INDEX(Lookups!$H$2:$H$5,MATCH(K142,Lookups!$G$2:$G$5,0)))&lt;=1,"Yes","No"),"Check"))</f>
        <v/>
      </c>
      <c r="M142" s="43" t="n">
        <v>605766.08</v>
      </c>
      <c r="N142" s="29" t="inlineStr">
        <is>
          <t>Yes</t>
        </is>
      </c>
      <c r="O142" s="39" t="n">
        <v>1</v>
      </c>
      <c r="P142" s="27" t="n"/>
      <c r="Q142" s="29">
        <f>IF(N142&lt;&gt;"Yes","n/a",IF(OR(AND(O142&lt;&gt;"",O142&gt;$W$1),P142="Y"),"Yes",IF(O142&lt;&gt;"","No","Pending")))</f>
        <v/>
      </c>
      <c r="R142" s="29" t="n"/>
      <c r="S142" s="29" t="inlineStr">
        <is>
          <t>Carolina Prieto</t>
        </is>
      </c>
      <c r="T142" s="29" t="inlineStr">
        <is>
          <t>State</t>
        </is>
      </c>
      <c r="U142" s="29" t="inlineStr">
        <is>
          <t>Public Records Request</t>
        </is>
      </c>
      <c r="X142" s="19" t="inlineStr">
        <is>
          <t>C</t>
        </is>
      </c>
      <c r="Y142" s="19" t="n">
        <v>40.5</v>
      </c>
      <c r="Z142" s="44" t="n">
        <v>0.875</v>
      </c>
      <c r="AA142" s="51" t="n">
        <v>0.593</v>
      </c>
      <c r="AB142" s="48" t="n">
        <v>1</v>
      </c>
      <c r="AC142" s="19" t="inlineStr">
        <is>
          <t>Growth engine</t>
        </is>
      </c>
      <c r="AD142" s="19" t="n">
        <v>1</v>
      </c>
      <c r="AE142" s="19" t="inlineStr">
        <is>
          <t>reported</t>
        </is>
      </c>
    </row>
    <row r="143" ht="15" customHeight="1" s="20">
      <c r="A143" s="29" t="inlineStr">
        <is>
          <t>Connecticut Workers' Compensation Commission</t>
        </is>
      </c>
      <c r="B143" s="29" t="inlineStr">
        <is>
          <t>Connecticut</t>
        </is>
      </c>
      <c r="C143" s="29" t="inlineStr">
        <is>
          <t>CT</t>
        </is>
      </c>
      <c r="D143" s="29" t="inlineStr">
        <is>
          <t>State</t>
        </is>
      </c>
      <c r="E143" s="29" t="inlineStr">
        <is>
          <t>Stephanie DelSignore</t>
        </is>
      </c>
      <c r="F143" s="29" t="inlineStr">
        <is>
          <t>Halena Martin</t>
        </is>
      </c>
      <c r="G143" s="39" t="inlineStr">
        <is>
          <t>Halena Martin</t>
        </is>
      </c>
      <c r="H143" s="29">
        <f>IF(F143="(not in WIP)","New to Enterprise",IF(F143=G143,"No","Yes"))</f>
        <v/>
      </c>
      <c r="I143" s="29">
        <f>IFERROR(INDEX(Lookups!$B$2:$B$14,MATCH(G143,Lookups!$A$2:$A$14,0)),"Not found")</f>
        <v/>
      </c>
      <c r="J143" s="29">
        <f>IFERROR(INDEX(Lookups!$E$2:$E$14,MATCH(G143,Lookups!$A$2:$A$14,0)),"")</f>
        <v/>
      </c>
      <c r="K143" s="39" t="inlineStr">
        <is>
          <t>ET</t>
        </is>
      </c>
      <c r="L143" s="29">
        <f>IF(J143="n/a","n/a",IFERROR(IF(ABS(INDEX(Lookups!$H$2:$H$5,MATCH(J143,Lookups!$G$2:$G$5,0))-INDEX(Lookups!$H$2:$H$5,MATCH(K143,Lookups!$G$2:$G$5,0)))&lt;=1,"Yes","No"),"Check"))</f>
        <v/>
      </c>
      <c r="M143" s="43" t="n">
        <v>69192.83</v>
      </c>
      <c r="N143" s="29" t="inlineStr">
        <is>
          <t>Yes</t>
        </is>
      </c>
      <c r="O143" s="39" t="n">
        <v>2</v>
      </c>
      <c r="P143" s="27" t="n"/>
      <c r="Q143" s="29">
        <f>IF(N143&lt;&gt;"Yes","n/a",IF(OR(AND(O143&lt;&gt;"",O143&gt;$W$1),P143="Y"),"Yes",IF(O143&lt;&gt;"","No","Pending")))</f>
        <v/>
      </c>
      <c r="R143" s="29" t="n"/>
      <c r="S143" s="29" t="inlineStr">
        <is>
          <t>Carolina Prieto</t>
        </is>
      </c>
      <c r="T143" s="29" t="inlineStr">
        <is>
          <t>State</t>
        </is>
      </c>
      <c r="U143" s="29" t="inlineStr">
        <is>
          <t>Other, Public Records Request</t>
        </is>
      </c>
      <c r="X143" s="19" t="inlineStr">
        <is>
          <t>C</t>
        </is>
      </c>
      <c r="Y143" s="19" t="n">
        <v>40.5</v>
      </c>
      <c r="Z143" s="44" t="n">
        <v>0.75</v>
      </c>
      <c r="AA143" s="51" t="n">
        <v>0.543</v>
      </c>
      <c r="AB143" s="47" t="n">
        <v>4</v>
      </c>
      <c r="AC143" s="19" t="inlineStr">
        <is>
          <t>Maintain</t>
        </is>
      </c>
      <c r="AD143" s="19" t="n">
        <v>0.3</v>
      </c>
      <c r="AE143" s="19" t="inlineStr">
        <is>
          <t>reported</t>
        </is>
      </c>
    </row>
    <row r="144" ht="15" customHeight="1" s="20">
      <c r="A144" s="29" t="inlineStr">
        <is>
          <t>Connecticut Public Utilities Regulatory Authority [PURA],</t>
        </is>
      </c>
      <c r="B144" s="29" t="inlineStr">
        <is>
          <t>Connecticut Public Utilities Regulatory Authority [PURA],</t>
        </is>
      </c>
      <c r="C144" s="29" t="inlineStr">
        <is>
          <t>CT</t>
        </is>
      </c>
      <c r="D144" s="29" t="inlineStr">
        <is>
          <t>State</t>
        </is>
      </c>
      <c r="E144" s="29" t="inlineStr">
        <is>
          <t>Stephanie DelSignore</t>
        </is>
      </c>
      <c r="F144" s="29" t="inlineStr">
        <is>
          <t>Halena Martin</t>
        </is>
      </c>
      <c r="G144" s="39" t="inlineStr">
        <is>
          <t>Halena Martin</t>
        </is>
      </c>
      <c r="H144" s="29">
        <f>IF(F144="(not in WIP)","New to Enterprise",IF(F144=G144,"No","Yes"))</f>
        <v/>
      </c>
      <c r="I144" s="29">
        <f>IFERROR(INDEX(Lookups!$B$2:$B$14,MATCH(G144,Lookups!$A$2:$A$14,0)),"Not found")</f>
        <v/>
      </c>
      <c r="J144" s="29">
        <f>IFERROR(INDEX(Lookups!$E$2:$E$14,MATCH(G144,Lookups!$A$2:$A$14,0)),"")</f>
        <v/>
      </c>
      <c r="K144" s="39" t="inlineStr">
        <is>
          <t>ET</t>
        </is>
      </c>
      <c r="L144" s="29">
        <f>IF(J144="n/a","n/a",IFERROR(IF(ABS(INDEX(Lookups!$H$2:$H$5,MATCH(J144,Lookups!$G$2:$G$5,0))-INDEX(Lookups!$H$2:$H$5,MATCH(K144,Lookups!$G$2:$G$5,0)))&lt;=1,"Yes","No"),"Check"))</f>
        <v/>
      </c>
      <c r="M144" s="43" t="n">
        <v>40636.87</v>
      </c>
      <c r="N144" s="29" t="inlineStr">
        <is>
          <t>Yes</t>
        </is>
      </c>
      <c r="O144" s="39" t="n">
        <v>1</v>
      </c>
      <c r="P144" s="27" t="n"/>
      <c r="Q144" s="29">
        <f>IF(N144&lt;&gt;"Yes","n/a",IF(OR(AND(O144&lt;&gt;"",O144&gt;$W$1),P144="Y"),"Yes",IF(O144&lt;&gt;"","No","Pending")))</f>
        <v/>
      </c>
      <c r="R144" s="29" t="n"/>
      <c r="S144" s="29" t="inlineStr">
        <is>
          <t>Ashley Hill</t>
        </is>
      </c>
      <c r="T144" s="29" t="inlineStr">
        <is>
          <t>State</t>
        </is>
      </c>
      <c r="U144" s="29" t="inlineStr">
        <is>
          <t>Public Records Request</t>
        </is>
      </c>
      <c r="X144" s="19" t="inlineStr">
        <is>
          <t>C</t>
        </is>
      </c>
      <c r="Y144" s="19" t="n">
        <v>40.5</v>
      </c>
      <c r="Z144" s="44" t="n">
        <v>0.875</v>
      </c>
      <c r="AA144" s="51" t="n">
        <v>0.593</v>
      </c>
      <c r="AB144" s="49" t="n">
        <v>2</v>
      </c>
      <c r="AC144" s="19" t="inlineStr">
        <is>
          <t>Expansion</t>
        </is>
      </c>
      <c r="AD144" s="19" t="n">
        <v>0.8</v>
      </c>
      <c r="AE144" s="19" t="inlineStr">
        <is>
          <t>reported</t>
        </is>
      </c>
    </row>
    <row r="145" ht="15" customHeight="1" s="20">
      <c r="A145" s="29" t="inlineStr">
        <is>
          <t>Connecticut Department of Emergency Services and Public Protection</t>
        </is>
      </c>
      <c r="B145" s="29" t="inlineStr">
        <is>
          <t>Connecticut</t>
        </is>
      </c>
      <c r="C145" s="29" t="inlineStr">
        <is>
          <t>CT</t>
        </is>
      </c>
      <c r="D145" s="29" t="inlineStr">
        <is>
          <t>State</t>
        </is>
      </c>
      <c r="E145" s="29" t="inlineStr">
        <is>
          <t>Stephanie DelSignore</t>
        </is>
      </c>
      <c r="F145" s="29" t="inlineStr">
        <is>
          <t>Halena Martin</t>
        </is>
      </c>
      <c r="G145" s="39" t="inlineStr">
        <is>
          <t>Halena Martin</t>
        </is>
      </c>
      <c r="H145" s="29">
        <f>IF(F145="(not in WIP)","New to Enterprise",IF(F145=G145,"No","Yes"))</f>
        <v/>
      </c>
      <c r="I145" s="29">
        <f>IFERROR(INDEX(Lookups!$B$2:$B$14,MATCH(G145,Lookups!$A$2:$A$14,0)),"Not found")</f>
        <v/>
      </c>
      <c r="J145" s="29">
        <f>IFERROR(INDEX(Lookups!$E$2:$E$14,MATCH(G145,Lookups!$A$2:$A$14,0)),"")</f>
        <v/>
      </c>
      <c r="K145" s="39" t="inlineStr">
        <is>
          <t>ET</t>
        </is>
      </c>
      <c r="L145" s="29">
        <f>IF(J145="n/a","n/a",IFERROR(IF(ABS(INDEX(Lookups!$H$2:$H$5,MATCH(J145,Lookups!$G$2:$G$5,0))-INDEX(Lookups!$H$2:$H$5,MATCH(K145,Lookups!$G$2:$G$5,0)))&lt;=1,"Yes","No"),"Check"))</f>
        <v/>
      </c>
      <c r="M145" s="43" t="n">
        <v>29568.49</v>
      </c>
      <c r="N145" s="29" t="inlineStr">
        <is>
          <t>Yes</t>
        </is>
      </c>
      <c r="O145" s="39" t="n">
        <v>1</v>
      </c>
      <c r="P145" s="27" t="n"/>
      <c r="Q145" s="29">
        <f>IF(N145&lt;&gt;"Yes","n/a",IF(OR(AND(O145&lt;&gt;"",O145&gt;$W$1),P145="Y"),"Yes",IF(O145&lt;&gt;"","No","Pending")))</f>
        <v/>
      </c>
      <c r="R145" s="29" t="n"/>
      <c r="S145" s="29" t="inlineStr">
        <is>
          <t>Carolina Prieto</t>
        </is>
      </c>
      <c r="T145" s="29" t="inlineStr">
        <is>
          <t>State</t>
        </is>
      </c>
      <c r="U145" s="29" t="inlineStr">
        <is>
          <t>Public Records Request</t>
        </is>
      </c>
      <c r="X145" s="19" t="inlineStr">
        <is>
          <t>C</t>
        </is>
      </c>
      <c r="Y145" s="19" t="n">
        <v>40.5</v>
      </c>
      <c r="Z145" s="44" t="n">
        <v>0.875</v>
      </c>
      <c r="AA145" s="51" t="n">
        <v>0.593</v>
      </c>
      <c r="AB145" s="49" t="n">
        <v>2</v>
      </c>
      <c r="AC145" s="19" t="inlineStr">
        <is>
          <t>Expansion</t>
        </is>
      </c>
      <c r="AD145" s="19" t="n">
        <v>0.8</v>
      </c>
      <c r="AE145" s="19" t="inlineStr">
        <is>
          <t>reported</t>
        </is>
      </c>
    </row>
    <row r="146" ht="15" customHeight="1" s="20">
      <c r="A146" s="29" t="inlineStr">
        <is>
          <t>Connecticut Office of the Healthcare Advocate</t>
        </is>
      </c>
      <c r="B146" s="29" t="inlineStr">
        <is>
          <t>Connecticut</t>
        </is>
      </c>
      <c r="C146" s="29" t="inlineStr">
        <is>
          <t>CT</t>
        </is>
      </c>
      <c r="D146" s="29" t="inlineStr">
        <is>
          <t>State</t>
        </is>
      </c>
      <c r="E146" s="29" t="inlineStr">
        <is>
          <t>Stephanie DelSignore</t>
        </is>
      </c>
      <c r="F146" s="29" t="inlineStr">
        <is>
          <t>Halena Martin</t>
        </is>
      </c>
      <c r="G146" s="39" t="inlineStr">
        <is>
          <t>Halena Martin</t>
        </is>
      </c>
      <c r="H146" s="29">
        <f>IF(F146="(not in WIP)","New to Enterprise",IF(F146=G146,"No","Yes"))</f>
        <v/>
      </c>
      <c r="I146" s="29">
        <f>IFERROR(INDEX(Lookups!$B$2:$B$14,MATCH(G146,Lookups!$A$2:$A$14,0)),"Not found")</f>
        <v/>
      </c>
      <c r="J146" s="29">
        <f>IFERROR(INDEX(Lookups!$E$2:$E$14,MATCH(G146,Lookups!$A$2:$A$14,0)),"")</f>
        <v/>
      </c>
      <c r="K146" s="39" t="inlineStr">
        <is>
          <t>ET</t>
        </is>
      </c>
      <c r="L146" s="29">
        <f>IF(J146="n/a","n/a",IFERROR(IF(ABS(INDEX(Lookups!$H$2:$H$5,MATCH(J146,Lookups!$G$2:$G$5,0))-INDEX(Lookups!$H$2:$H$5,MATCH(K146,Lookups!$G$2:$G$5,0)))&lt;=1,"Yes","No"),"Check"))</f>
        <v/>
      </c>
      <c r="M146" s="43" t="n">
        <v>0</v>
      </c>
      <c r="N146" s="29" t="inlineStr">
        <is>
          <t>No (Allocated)</t>
        </is>
      </c>
      <c r="O146" s="39" t="n">
        <v>0</v>
      </c>
      <c r="P146" s="27" t="n"/>
      <c r="Q146" s="29">
        <f>IF(N146&lt;&gt;"Yes","n/a",IF(OR(AND(O146&lt;&gt;"",O146&gt;$W$1),P146="Y"),"Yes",IF(O146&lt;&gt;"","No","Pending")))</f>
        <v/>
      </c>
      <c r="R146" s="29" t="n"/>
      <c r="S146" s="29" t="inlineStr">
        <is>
          <t>Carolina Prieto</t>
        </is>
      </c>
      <c r="T146" s="29" t="inlineStr">
        <is>
          <t>State</t>
        </is>
      </c>
      <c r="U146" s="29" t="n"/>
      <c r="X146" s="19" t="inlineStr">
        <is>
          <t>C</t>
        </is>
      </c>
      <c r="Y146" s="19" t="n">
        <v>40.5</v>
      </c>
      <c r="Z146" s="44" t="n">
        <v>0.75</v>
      </c>
      <c r="AA146" s="51" t="n">
        <v>0.543</v>
      </c>
      <c r="AB146" s="47" t="n">
        <v>4</v>
      </c>
      <c r="AC146" s="19" t="inlineStr">
        <is>
          <t>Maintain</t>
        </is>
      </c>
      <c r="AD146" s="19" t="n">
        <v>0</v>
      </c>
      <c r="AE146" s="19" t="inlineStr">
        <is>
          <t>imputed</t>
        </is>
      </c>
    </row>
    <row r="147" ht="15" customHeight="1" s="20">
      <c r="A147" s="29" t="inlineStr">
        <is>
          <t>Connecticut Office of the Chief Medical Examiner</t>
        </is>
      </c>
      <c r="B147" s="29" t="inlineStr">
        <is>
          <t>Connecticut</t>
        </is>
      </c>
      <c r="C147" s="29" t="inlineStr">
        <is>
          <t>CT</t>
        </is>
      </c>
      <c r="D147" s="29" t="inlineStr">
        <is>
          <t>State</t>
        </is>
      </c>
      <c r="E147" s="29" t="inlineStr">
        <is>
          <t>Stephanie DelSignore</t>
        </is>
      </c>
      <c r="F147" s="29" t="inlineStr">
        <is>
          <t>Halena Martin</t>
        </is>
      </c>
      <c r="G147" s="39" t="inlineStr">
        <is>
          <t>Halena Martin</t>
        </is>
      </c>
      <c r="H147" s="29">
        <f>IF(F147="(not in WIP)","New to Enterprise",IF(F147=G147,"No","Yes"))</f>
        <v/>
      </c>
      <c r="I147" s="29">
        <f>IFERROR(INDEX(Lookups!$B$2:$B$14,MATCH(G147,Lookups!$A$2:$A$14,0)),"Not found")</f>
        <v/>
      </c>
      <c r="J147" s="29">
        <f>IFERROR(INDEX(Lookups!$E$2:$E$14,MATCH(G147,Lookups!$A$2:$A$14,0)),"")</f>
        <v/>
      </c>
      <c r="K147" s="39" t="inlineStr">
        <is>
          <t>ET</t>
        </is>
      </c>
      <c r="L147" s="29">
        <f>IF(J147="n/a","n/a",IFERROR(IF(ABS(INDEX(Lookups!$H$2:$H$5,MATCH(J147,Lookups!$G$2:$G$5,0))-INDEX(Lookups!$H$2:$H$5,MATCH(K147,Lookups!$G$2:$G$5,0)))&lt;=1,"Yes","No"),"Check"))</f>
        <v/>
      </c>
      <c r="M147" s="43" t="n">
        <v>0</v>
      </c>
      <c r="N147" s="29" t="inlineStr">
        <is>
          <t>No (Allocated)</t>
        </is>
      </c>
      <c r="O147" s="39" t="n">
        <v>0</v>
      </c>
      <c r="P147" s="27" t="n"/>
      <c r="Q147" s="29">
        <f>IF(N147&lt;&gt;"Yes","n/a",IF(OR(AND(O147&lt;&gt;"",O147&gt;$W$1),P147="Y"),"Yes",IF(O147&lt;&gt;"","No","Pending")))</f>
        <v/>
      </c>
      <c r="R147" s="29" t="n"/>
      <c r="S147" s="29" t="inlineStr">
        <is>
          <t>Carolina Prieto</t>
        </is>
      </c>
      <c r="T147" s="29" t="inlineStr">
        <is>
          <t>State</t>
        </is>
      </c>
      <c r="U147" s="29" t="n"/>
      <c r="X147" s="19" t="inlineStr">
        <is>
          <t>C</t>
        </is>
      </c>
      <c r="Y147" s="19" t="n">
        <v>40.5</v>
      </c>
      <c r="Z147" s="44" t="n">
        <v>0.75</v>
      </c>
      <c r="AA147" s="51" t="n">
        <v>0.543</v>
      </c>
      <c r="AB147" s="47" t="n">
        <v>4</v>
      </c>
      <c r="AC147" s="19" t="inlineStr">
        <is>
          <t>Maintain</t>
        </is>
      </c>
      <c r="AD147" s="19" t="n">
        <v>0</v>
      </c>
      <c r="AE147" s="19" t="inlineStr">
        <is>
          <t>imputed</t>
        </is>
      </c>
    </row>
    <row r="148" ht="15" customHeight="1" s="20">
      <c r="A148" s="29" t="inlineStr">
        <is>
          <t>Connecticut Office of the Governor</t>
        </is>
      </c>
      <c r="B148" s="29" t="inlineStr">
        <is>
          <t>Connecticut</t>
        </is>
      </c>
      <c r="C148" s="29" t="inlineStr">
        <is>
          <t>CT</t>
        </is>
      </c>
      <c r="D148" s="29" t="inlineStr">
        <is>
          <t>State</t>
        </is>
      </c>
      <c r="E148" s="29" t="inlineStr">
        <is>
          <t>Stephanie DelSignore</t>
        </is>
      </c>
      <c r="F148" s="29" t="inlineStr">
        <is>
          <t>Halena Martin</t>
        </is>
      </c>
      <c r="G148" s="39" t="inlineStr">
        <is>
          <t>Halena Martin</t>
        </is>
      </c>
      <c r="H148" s="29">
        <f>IF(F148="(not in WIP)","New to Enterprise",IF(F148=G148,"No","Yes"))</f>
        <v/>
      </c>
      <c r="I148" s="29">
        <f>IFERROR(INDEX(Lookups!$B$2:$B$14,MATCH(G148,Lookups!$A$2:$A$14,0)),"Not found")</f>
        <v/>
      </c>
      <c r="J148" s="29">
        <f>IFERROR(INDEX(Lookups!$E$2:$E$14,MATCH(G148,Lookups!$A$2:$A$14,0)),"")</f>
        <v/>
      </c>
      <c r="K148" s="39" t="inlineStr">
        <is>
          <t>ET</t>
        </is>
      </c>
      <c r="L148" s="29">
        <f>IF(J148="n/a","n/a",IFERROR(IF(ABS(INDEX(Lookups!$H$2:$H$5,MATCH(J148,Lookups!$G$2:$G$5,0))-INDEX(Lookups!$H$2:$H$5,MATCH(K148,Lookups!$G$2:$G$5,0)))&lt;=1,"Yes","No"),"Check"))</f>
        <v/>
      </c>
      <c r="M148" s="43" t="n">
        <v>0</v>
      </c>
      <c r="N148" s="29" t="inlineStr">
        <is>
          <t>No (Allocated)</t>
        </is>
      </c>
      <c r="O148" s="39" t="n">
        <v>0</v>
      </c>
      <c r="P148" s="27" t="n"/>
      <c r="Q148" s="29">
        <f>IF(N148&lt;&gt;"Yes","n/a",IF(OR(AND(O148&lt;&gt;"",O148&gt;$W$1),P148="Y"),"Yes",IF(O148&lt;&gt;"","No","Pending")))</f>
        <v/>
      </c>
      <c r="R148" s="29" t="n"/>
      <c r="S148" s="29" t="inlineStr">
        <is>
          <t>Carolina Prieto</t>
        </is>
      </c>
      <c r="T148" s="29" t="inlineStr">
        <is>
          <t>State</t>
        </is>
      </c>
      <c r="U148" s="29" t="n"/>
      <c r="X148" s="19" t="inlineStr">
        <is>
          <t>C</t>
        </is>
      </c>
      <c r="Y148" s="19" t="n">
        <v>40.5</v>
      </c>
      <c r="Z148" s="44" t="n">
        <v>0.75</v>
      </c>
      <c r="AA148" s="51" t="n">
        <v>0.543</v>
      </c>
      <c r="AB148" s="47" t="n">
        <v>4</v>
      </c>
      <c r="AC148" s="19" t="inlineStr">
        <is>
          <t>Maintain</t>
        </is>
      </c>
      <c r="AD148" s="19" t="n">
        <v>0</v>
      </c>
      <c r="AE148" s="19" t="inlineStr">
        <is>
          <t>imputed</t>
        </is>
      </c>
    </row>
    <row r="149" ht="15" customHeight="1" s="20">
      <c r="A149" s="29" t="inlineStr">
        <is>
          <t>Connecticut Office of Lieutenant Governor</t>
        </is>
      </c>
      <c r="B149" s="29" t="inlineStr">
        <is>
          <t>Connecticut</t>
        </is>
      </c>
      <c r="C149" s="29" t="inlineStr">
        <is>
          <t>CT</t>
        </is>
      </c>
      <c r="D149" s="29" t="inlineStr">
        <is>
          <t>State</t>
        </is>
      </c>
      <c r="E149" s="29" t="inlineStr">
        <is>
          <t>Stephanie DelSignore</t>
        </is>
      </c>
      <c r="F149" s="29" t="inlineStr">
        <is>
          <t>Halena Martin</t>
        </is>
      </c>
      <c r="G149" s="39" t="inlineStr">
        <is>
          <t>Halena Martin</t>
        </is>
      </c>
      <c r="H149" s="29">
        <f>IF(F149="(not in WIP)","New to Enterprise",IF(F149=G149,"No","Yes"))</f>
        <v/>
      </c>
      <c r="I149" s="29">
        <f>IFERROR(INDEX(Lookups!$B$2:$B$14,MATCH(G149,Lookups!$A$2:$A$14,0)),"Not found")</f>
        <v/>
      </c>
      <c r="J149" s="29">
        <f>IFERROR(INDEX(Lookups!$E$2:$E$14,MATCH(G149,Lookups!$A$2:$A$14,0)),"")</f>
        <v/>
      </c>
      <c r="K149" s="39" t="inlineStr">
        <is>
          <t>ET</t>
        </is>
      </c>
      <c r="L149" s="29">
        <f>IF(J149="n/a","n/a",IFERROR(IF(ABS(INDEX(Lookups!$H$2:$H$5,MATCH(J149,Lookups!$G$2:$G$5,0))-INDEX(Lookups!$H$2:$H$5,MATCH(K149,Lookups!$G$2:$G$5,0)))&lt;=1,"Yes","No"),"Check"))</f>
        <v/>
      </c>
      <c r="M149" s="43" t="n">
        <v>0</v>
      </c>
      <c r="N149" s="29" t="inlineStr">
        <is>
          <t>No (Allocated)</t>
        </is>
      </c>
      <c r="O149" s="39" t="n">
        <v>0</v>
      </c>
      <c r="P149" s="27" t="n"/>
      <c r="Q149" s="29">
        <f>IF(N149&lt;&gt;"Yes","n/a",IF(OR(AND(O149&lt;&gt;"",O149&gt;$W$1),P149="Y"),"Yes",IF(O149&lt;&gt;"","No","Pending")))</f>
        <v/>
      </c>
      <c r="R149" s="29" t="n"/>
      <c r="S149" s="29" t="inlineStr">
        <is>
          <t>Carolina Prieto</t>
        </is>
      </c>
      <c r="T149" s="29" t="inlineStr">
        <is>
          <t>State</t>
        </is>
      </c>
      <c r="U149" s="29" t="n"/>
      <c r="X149" s="19" t="inlineStr">
        <is>
          <t>C</t>
        </is>
      </c>
      <c r="Y149" s="19" t="n">
        <v>40.5</v>
      </c>
      <c r="Z149" s="44" t="n">
        <v>0.75</v>
      </c>
      <c r="AA149" s="51" t="n">
        <v>0.543</v>
      </c>
      <c r="AB149" s="47" t="n">
        <v>4</v>
      </c>
      <c r="AC149" s="19" t="inlineStr">
        <is>
          <t>Maintain</t>
        </is>
      </c>
      <c r="AD149" s="19" t="n">
        <v>0</v>
      </c>
      <c r="AE149" s="19" t="inlineStr">
        <is>
          <t>imputed</t>
        </is>
      </c>
    </row>
    <row r="150" ht="15" customHeight="1" s="20">
      <c r="A150" s="29" t="inlineStr">
        <is>
          <t>Connecticut Office of the Attorney General</t>
        </is>
      </c>
      <c r="B150" s="29" t="inlineStr">
        <is>
          <t>Connecticut</t>
        </is>
      </c>
      <c r="C150" s="29" t="inlineStr">
        <is>
          <t>CT</t>
        </is>
      </c>
      <c r="D150" s="29" t="inlineStr">
        <is>
          <t>State</t>
        </is>
      </c>
      <c r="E150" s="29" t="inlineStr">
        <is>
          <t>Stephanie DelSignore</t>
        </is>
      </c>
      <c r="F150" s="29" t="inlineStr">
        <is>
          <t>Halena Martin</t>
        </is>
      </c>
      <c r="G150" s="39" t="inlineStr">
        <is>
          <t>Halena Martin</t>
        </is>
      </c>
      <c r="H150" s="29">
        <f>IF(F150="(not in WIP)","New to Enterprise",IF(F150=G150,"No","Yes"))</f>
        <v/>
      </c>
      <c r="I150" s="29">
        <f>IFERROR(INDEX(Lookups!$B$2:$B$14,MATCH(G150,Lookups!$A$2:$A$14,0)),"Not found")</f>
        <v/>
      </c>
      <c r="J150" s="29">
        <f>IFERROR(INDEX(Lookups!$E$2:$E$14,MATCH(G150,Lookups!$A$2:$A$14,0)),"")</f>
        <v/>
      </c>
      <c r="K150" s="39" t="inlineStr">
        <is>
          <t>ET</t>
        </is>
      </c>
      <c r="L150" s="29">
        <f>IF(J150="n/a","n/a",IFERROR(IF(ABS(INDEX(Lookups!$H$2:$H$5,MATCH(J150,Lookups!$G$2:$G$5,0))-INDEX(Lookups!$H$2:$H$5,MATCH(K150,Lookups!$G$2:$G$5,0)))&lt;=1,"Yes","No"),"Check"))</f>
        <v/>
      </c>
      <c r="M150" s="43" t="n">
        <v>0</v>
      </c>
      <c r="N150" s="29" t="inlineStr">
        <is>
          <t>No (Allocated)</t>
        </is>
      </c>
      <c r="O150" s="39" t="n">
        <v>0</v>
      </c>
      <c r="P150" s="27" t="n"/>
      <c r="Q150" s="29">
        <f>IF(N150&lt;&gt;"Yes","n/a",IF(OR(AND(O150&lt;&gt;"",O150&gt;$W$1),P150="Y"),"Yes",IF(O150&lt;&gt;"","No","Pending")))</f>
        <v/>
      </c>
      <c r="R150" s="29" t="n"/>
      <c r="S150" s="29" t="inlineStr">
        <is>
          <t>Carolina Prieto</t>
        </is>
      </c>
      <c r="T150" s="29" t="inlineStr">
        <is>
          <t>State</t>
        </is>
      </c>
      <c r="U150" s="29" t="n"/>
      <c r="X150" s="19" t="inlineStr">
        <is>
          <t>C</t>
        </is>
      </c>
      <c r="Y150" s="19" t="n">
        <v>40.5</v>
      </c>
      <c r="Z150" s="44" t="n">
        <v>0.75</v>
      </c>
      <c r="AA150" s="51" t="n">
        <v>0.543</v>
      </c>
      <c r="AB150" s="47" t="n">
        <v>4</v>
      </c>
      <c r="AC150" s="19" t="inlineStr">
        <is>
          <t>Maintain</t>
        </is>
      </c>
      <c r="AD150" s="19" t="n">
        <v>0</v>
      </c>
      <c r="AE150" s="19" t="inlineStr">
        <is>
          <t>imputed</t>
        </is>
      </c>
    </row>
    <row r="151" ht="15" customHeight="1" s="20">
      <c r="A151" s="29" t="inlineStr">
        <is>
          <t>Connecticut Criminal Justice Division</t>
        </is>
      </c>
      <c r="B151" s="29" t="inlineStr">
        <is>
          <t>Connecticut</t>
        </is>
      </c>
      <c r="C151" s="29" t="inlineStr">
        <is>
          <t>CT</t>
        </is>
      </c>
      <c r="D151" s="29" t="inlineStr">
        <is>
          <t>State</t>
        </is>
      </c>
      <c r="E151" s="29" t="inlineStr">
        <is>
          <t>Stephanie DelSignore</t>
        </is>
      </c>
      <c r="F151" s="29" t="inlineStr">
        <is>
          <t>Halena Martin</t>
        </is>
      </c>
      <c r="G151" s="39" t="inlineStr">
        <is>
          <t>Halena Martin</t>
        </is>
      </c>
      <c r="H151" s="29">
        <f>IF(F151="(not in WIP)","New to Enterprise",IF(F151=G151,"No","Yes"))</f>
        <v/>
      </c>
      <c r="I151" s="29">
        <f>IFERROR(INDEX(Lookups!$B$2:$B$14,MATCH(G151,Lookups!$A$2:$A$14,0)),"Not found")</f>
        <v/>
      </c>
      <c r="J151" s="29">
        <f>IFERROR(INDEX(Lookups!$E$2:$E$14,MATCH(G151,Lookups!$A$2:$A$14,0)),"")</f>
        <v/>
      </c>
      <c r="K151" s="39" t="inlineStr">
        <is>
          <t>ET</t>
        </is>
      </c>
      <c r="L151" s="29">
        <f>IF(J151="n/a","n/a",IFERROR(IF(ABS(INDEX(Lookups!$H$2:$H$5,MATCH(J151,Lookups!$G$2:$G$5,0))-INDEX(Lookups!$H$2:$H$5,MATCH(K151,Lookups!$G$2:$G$5,0)))&lt;=1,"Yes","No"),"Check"))</f>
        <v/>
      </c>
      <c r="M151" s="43" t="n">
        <v>0</v>
      </c>
      <c r="N151" s="29" t="inlineStr">
        <is>
          <t>No (Allocated)</t>
        </is>
      </c>
      <c r="O151" s="39" t="n">
        <v>0</v>
      </c>
      <c r="P151" s="27" t="n"/>
      <c r="Q151" s="29">
        <f>IF(N151&lt;&gt;"Yes","n/a",IF(OR(AND(O151&lt;&gt;"",O151&gt;$W$1),P151="Y"),"Yes",IF(O151&lt;&gt;"","No","Pending")))</f>
        <v/>
      </c>
      <c r="R151" s="29" t="n"/>
      <c r="S151" s="29" t="inlineStr">
        <is>
          <t>Carolina Prieto</t>
        </is>
      </c>
      <c r="T151" s="29" t="inlineStr">
        <is>
          <t>State</t>
        </is>
      </c>
      <c r="U151" s="29" t="n"/>
      <c r="X151" s="19" t="inlineStr">
        <is>
          <t>C</t>
        </is>
      </c>
      <c r="Y151" s="19" t="n">
        <v>40.5</v>
      </c>
      <c r="Z151" s="44" t="n">
        <v>0.75</v>
      </c>
      <c r="AA151" s="51" t="n">
        <v>0.543</v>
      </c>
      <c r="AB151" s="47" t="n">
        <v>4</v>
      </c>
      <c r="AC151" s="19" t="inlineStr">
        <is>
          <t>Maintain</t>
        </is>
      </c>
      <c r="AD151" s="19" t="n">
        <v>0</v>
      </c>
      <c r="AE151" s="19" t="inlineStr">
        <is>
          <t>imputed</t>
        </is>
      </c>
    </row>
    <row r="152" ht="15" customHeight="1" s="20">
      <c r="A152" s="29" t="inlineStr">
        <is>
          <t>Connecticut Contracting Standards Board</t>
        </is>
      </c>
      <c r="B152" s="29" t="inlineStr">
        <is>
          <t>Connecticut</t>
        </is>
      </c>
      <c r="C152" s="29" t="inlineStr">
        <is>
          <t>CT</t>
        </is>
      </c>
      <c r="D152" s="29" t="inlineStr">
        <is>
          <t>State</t>
        </is>
      </c>
      <c r="E152" s="29" t="inlineStr">
        <is>
          <t>Stephanie DelSignore</t>
        </is>
      </c>
      <c r="F152" s="29" t="inlineStr">
        <is>
          <t>Halena Martin</t>
        </is>
      </c>
      <c r="G152" s="39" t="inlineStr">
        <is>
          <t>Halena Martin</t>
        </is>
      </c>
      <c r="H152" s="29">
        <f>IF(F152="(not in WIP)","New to Enterprise",IF(F152=G152,"No","Yes"))</f>
        <v/>
      </c>
      <c r="I152" s="29">
        <f>IFERROR(INDEX(Lookups!$B$2:$B$14,MATCH(G152,Lookups!$A$2:$A$14,0)),"Not found")</f>
        <v/>
      </c>
      <c r="J152" s="29">
        <f>IFERROR(INDEX(Lookups!$E$2:$E$14,MATCH(G152,Lookups!$A$2:$A$14,0)),"")</f>
        <v/>
      </c>
      <c r="K152" s="39" t="inlineStr">
        <is>
          <t>ET</t>
        </is>
      </c>
      <c r="L152" s="29">
        <f>IF(J152="n/a","n/a",IFERROR(IF(ABS(INDEX(Lookups!$H$2:$H$5,MATCH(J152,Lookups!$G$2:$G$5,0))-INDEX(Lookups!$H$2:$H$5,MATCH(K152,Lookups!$G$2:$G$5,0)))&lt;=1,"Yes","No"),"Check"))</f>
        <v/>
      </c>
      <c r="M152" s="43" t="n">
        <v>0</v>
      </c>
      <c r="N152" s="29" t="inlineStr">
        <is>
          <t>No (Allocated)</t>
        </is>
      </c>
      <c r="O152" s="39" t="n">
        <v>0</v>
      </c>
      <c r="P152" s="27" t="n"/>
      <c r="Q152" s="29">
        <f>IF(N152&lt;&gt;"Yes","n/a",IF(OR(AND(O152&lt;&gt;"",O152&gt;$W$1),P152="Y"),"Yes",IF(O152&lt;&gt;"","No","Pending")))</f>
        <v/>
      </c>
      <c r="R152" s="29" t="n"/>
      <c r="S152" s="29" t="inlineStr">
        <is>
          <t>Carolina Prieto</t>
        </is>
      </c>
      <c r="T152" s="29" t="inlineStr">
        <is>
          <t>State</t>
        </is>
      </c>
      <c r="U152" s="29" t="n"/>
      <c r="X152" s="19" t="inlineStr">
        <is>
          <t>C</t>
        </is>
      </c>
      <c r="Y152" s="19" t="n">
        <v>40.5</v>
      </c>
      <c r="Z152" s="44" t="n">
        <v>0.75</v>
      </c>
      <c r="AA152" s="51" t="n">
        <v>0.543</v>
      </c>
      <c r="AB152" s="47" t="n">
        <v>4</v>
      </c>
      <c r="AC152" s="19" t="inlineStr">
        <is>
          <t>Maintain</t>
        </is>
      </c>
      <c r="AD152" s="19" t="n">
        <v>0</v>
      </c>
      <c r="AE152" s="19" t="inlineStr">
        <is>
          <t>imputed</t>
        </is>
      </c>
    </row>
    <row r="153" ht="15" customHeight="1" s="20">
      <c r="A153" s="29" t="inlineStr">
        <is>
          <t>Connecticut Connecticut Technical Education and Career System</t>
        </is>
      </c>
      <c r="B153" s="29" t="inlineStr">
        <is>
          <t>Connecticut</t>
        </is>
      </c>
      <c r="C153" s="29" t="inlineStr">
        <is>
          <t>CT</t>
        </is>
      </c>
      <c r="D153" s="29" t="inlineStr">
        <is>
          <t>State</t>
        </is>
      </c>
      <c r="E153" s="29" t="inlineStr">
        <is>
          <t>Stephanie DelSignore</t>
        </is>
      </c>
      <c r="F153" s="29" t="inlineStr">
        <is>
          <t>Halena Martin</t>
        </is>
      </c>
      <c r="G153" s="39" t="inlineStr">
        <is>
          <t>Halena Martin</t>
        </is>
      </c>
      <c r="H153" s="29">
        <f>IF(F153="(not in WIP)","New to Enterprise",IF(F153=G153,"No","Yes"))</f>
        <v/>
      </c>
      <c r="I153" s="29">
        <f>IFERROR(INDEX(Lookups!$B$2:$B$14,MATCH(G153,Lookups!$A$2:$A$14,0)),"Not found")</f>
        <v/>
      </c>
      <c r="J153" s="29">
        <f>IFERROR(INDEX(Lookups!$E$2:$E$14,MATCH(G153,Lookups!$A$2:$A$14,0)),"")</f>
        <v/>
      </c>
      <c r="K153" s="39" t="inlineStr">
        <is>
          <t>ET</t>
        </is>
      </c>
      <c r="L153" s="29">
        <f>IF(J153="n/a","n/a",IFERROR(IF(ABS(INDEX(Lookups!$H$2:$H$5,MATCH(J153,Lookups!$G$2:$G$5,0))-INDEX(Lookups!$H$2:$H$5,MATCH(K153,Lookups!$G$2:$G$5,0)))&lt;=1,"Yes","No"),"Check"))</f>
        <v/>
      </c>
      <c r="M153" s="43" t="n">
        <v>0</v>
      </c>
      <c r="N153" s="29" t="inlineStr">
        <is>
          <t>No (Allocated)</t>
        </is>
      </c>
      <c r="O153" s="39" t="n">
        <v>0</v>
      </c>
      <c r="P153" s="27" t="n"/>
      <c r="Q153" s="29">
        <f>IF(N153&lt;&gt;"Yes","n/a",IF(OR(AND(O153&lt;&gt;"",O153&gt;$W$1),P153="Y"),"Yes",IF(O153&lt;&gt;"","No","Pending")))</f>
        <v/>
      </c>
      <c r="R153" s="29" t="n"/>
      <c r="S153" s="29" t="inlineStr">
        <is>
          <t>Carolina Prieto</t>
        </is>
      </c>
      <c r="T153" s="29" t="inlineStr">
        <is>
          <t>State</t>
        </is>
      </c>
      <c r="U153" s="29" t="n"/>
      <c r="X153" s="19" t="inlineStr">
        <is>
          <t>C</t>
        </is>
      </c>
      <c r="Y153" s="19" t="n">
        <v>40.5</v>
      </c>
      <c r="Z153" s="44" t="n">
        <v>0.75</v>
      </c>
      <c r="AA153" s="51" t="n">
        <v>0.543</v>
      </c>
      <c r="AB153" s="47" t="n">
        <v>4</v>
      </c>
      <c r="AC153" s="19" t="inlineStr">
        <is>
          <t>Maintain</t>
        </is>
      </c>
      <c r="AD153" s="19" t="n">
        <v>0</v>
      </c>
      <c r="AE153" s="19" t="inlineStr">
        <is>
          <t>imputed</t>
        </is>
      </c>
    </row>
    <row r="154" ht="15" customHeight="1" s="20">
      <c r="A154" s="29" t="inlineStr">
        <is>
          <t>Connecticut Department of Aging and Disability Services</t>
        </is>
      </c>
      <c r="B154" s="29" t="inlineStr">
        <is>
          <t>Connecticut</t>
        </is>
      </c>
      <c r="C154" s="29" t="inlineStr">
        <is>
          <t>CT</t>
        </is>
      </c>
      <c r="D154" s="29" t="inlineStr">
        <is>
          <t>State</t>
        </is>
      </c>
      <c r="E154" s="29" t="inlineStr">
        <is>
          <t>Stephanie DelSignore</t>
        </is>
      </c>
      <c r="F154" s="29" t="inlineStr">
        <is>
          <t>Halena Martin</t>
        </is>
      </c>
      <c r="G154" s="39" t="inlineStr">
        <is>
          <t>Halena Martin</t>
        </is>
      </c>
      <c r="H154" s="29">
        <f>IF(F154="(not in WIP)","New to Enterprise",IF(F154=G154,"No","Yes"))</f>
        <v/>
      </c>
      <c r="I154" s="29">
        <f>IFERROR(INDEX(Lookups!$B$2:$B$14,MATCH(G154,Lookups!$A$2:$A$14,0)),"Not found")</f>
        <v/>
      </c>
      <c r="J154" s="29">
        <f>IFERROR(INDEX(Lookups!$E$2:$E$14,MATCH(G154,Lookups!$A$2:$A$14,0)),"")</f>
        <v/>
      </c>
      <c r="K154" s="39" t="inlineStr">
        <is>
          <t>ET</t>
        </is>
      </c>
      <c r="L154" s="29">
        <f>IF(J154="n/a","n/a",IFERROR(IF(ABS(INDEX(Lookups!$H$2:$H$5,MATCH(J154,Lookups!$G$2:$G$5,0))-INDEX(Lookups!$H$2:$H$5,MATCH(K154,Lookups!$G$2:$G$5,0)))&lt;=1,"Yes","No"),"Check"))</f>
        <v/>
      </c>
      <c r="M154" s="43" t="n">
        <v>0</v>
      </c>
      <c r="N154" s="29" t="inlineStr">
        <is>
          <t>No (Allocated)</t>
        </is>
      </c>
      <c r="O154" s="39" t="n">
        <v>0</v>
      </c>
      <c r="P154" s="27" t="n"/>
      <c r="Q154" s="29">
        <f>IF(N154&lt;&gt;"Yes","n/a",IF(OR(AND(O154&lt;&gt;"",O154&gt;$W$1),P154="Y"),"Yes",IF(O154&lt;&gt;"","No","Pending")))</f>
        <v/>
      </c>
      <c r="R154" s="29" t="n"/>
      <c r="S154" s="29" t="inlineStr">
        <is>
          <t>Carolina Prieto</t>
        </is>
      </c>
      <c r="T154" s="29" t="inlineStr">
        <is>
          <t>State</t>
        </is>
      </c>
      <c r="U154" s="29" t="n"/>
      <c r="X154" s="19" t="inlineStr">
        <is>
          <t>C</t>
        </is>
      </c>
      <c r="Y154" s="19" t="n">
        <v>40.5</v>
      </c>
      <c r="Z154" s="44" t="n">
        <v>0.75</v>
      </c>
      <c r="AA154" s="51" t="n">
        <v>0.543</v>
      </c>
      <c r="AB154" s="47" t="n">
        <v>4</v>
      </c>
      <c r="AC154" s="19" t="inlineStr">
        <is>
          <t>Maintain</t>
        </is>
      </c>
      <c r="AD154" s="19" t="n">
        <v>0</v>
      </c>
      <c r="AE154" s="19" t="inlineStr">
        <is>
          <t>imputed</t>
        </is>
      </c>
    </row>
    <row r="155" ht="15" customHeight="1" s="20">
      <c r="A155" s="29" t="inlineStr">
        <is>
          <t>Connecticut Connecticut State Colleges and Universities</t>
        </is>
      </c>
      <c r="B155" s="29" t="inlineStr">
        <is>
          <t>Connecticut</t>
        </is>
      </c>
      <c r="C155" s="29" t="inlineStr">
        <is>
          <t>CT</t>
        </is>
      </c>
      <c r="D155" s="29" t="inlineStr">
        <is>
          <t>State</t>
        </is>
      </c>
      <c r="E155" s="29" t="inlineStr">
        <is>
          <t>Stephanie DelSignore</t>
        </is>
      </c>
      <c r="F155" s="29" t="inlineStr">
        <is>
          <t>Halena Martin</t>
        </is>
      </c>
      <c r="G155" s="39" t="inlineStr">
        <is>
          <t>Halena Martin</t>
        </is>
      </c>
      <c r="H155" s="29">
        <f>IF(F155="(not in WIP)","New to Enterprise",IF(F155=G155,"No","Yes"))</f>
        <v/>
      </c>
      <c r="I155" s="29">
        <f>IFERROR(INDEX(Lookups!$B$2:$B$14,MATCH(G155,Lookups!$A$2:$A$14,0)),"Not found")</f>
        <v/>
      </c>
      <c r="J155" s="29">
        <f>IFERROR(INDEX(Lookups!$E$2:$E$14,MATCH(G155,Lookups!$A$2:$A$14,0)),"")</f>
        <v/>
      </c>
      <c r="K155" s="39" t="inlineStr">
        <is>
          <t>ET</t>
        </is>
      </c>
      <c r="L155" s="29">
        <f>IF(J155="n/a","n/a",IFERROR(IF(ABS(INDEX(Lookups!$H$2:$H$5,MATCH(J155,Lookups!$G$2:$G$5,0))-INDEX(Lookups!$H$2:$H$5,MATCH(K155,Lookups!$G$2:$G$5,0)))&lt;=1,"Yes","No"),"Check"))</f>
        <v/>
      </c>
      <c r="M155" s="43" t="n">
        <v>0</v>
      </c>
      <c r="N155" s="29" t="inlineStr">
        <is>
          <t>No (Allocated)</t>
        </is>
      </c>
      <c r="O155" s="39" t="n">
        <v>0</v>
      </c>
      <c r="P155" s="27" t="n"/>
      <c r="Q155" s="29">
        <f>IF(N155&lt;&gt;"Yes","n/a",IF(OR(AND(O155&lt;&gt;"",O155&gt;$W$1),P155="Y"),"Yes",IF(O155&lt;&gt;"","No","Pending")))</f>
        <v/>
      </c>
      <c r="R155" s="29" t="n"/>
      <c r="S155" s="29" t="inlineStr">
        <is>
          <t>Carolina Prieto</t>
        </is>
      </c>
      <c r="T155" s="29" t="inlineStr">
        <is>
          <t>State</t>
        </is>
      </c>
      <c r="U155" s="29" t="n"/>
      <c r="X155" s="19" t="inlineStr">
        <is>
          <t>C</t>
        </is>
      </c>
      <c r="Y155" s="19" t="n">
        <v>40.5</v>
      </c>
      <c r="Z155" s="44" t="n">
        <v>0.75</v>
      </c>
      <c r="AA155" s="51" t="n">
        <v>0.543</v>
      </c>
      <c r="AB155" s="47" t="n">
        <v>4</v>
      </c>
      <c r="AC155" s="19" t="inlineStr">
        <is>
          <t>Maintain</t>
        </is>
      </c>
      <c r="AD155" s="19" t="n">
        <v>0</v>
      </c>
      <c r="AE155" s="19" t="inlineStr">
        <is>
          <t>imputed</t>
        </is>
      </c>
    </row>
    <row r="156" ht="15" customHeight="1" s="20">
      <c r="A156" s="29" t="inlineStr">
        <is>
          <t>Connecticut Department of Consumer Protection</t>
        </is>
      </c>
      <c r="B156" s="29" t="inlineStr">
        <is>
          <t>Connecticut</t>
        </is>
      </c>
      <c r="C156" s="29" t="inlineStr">
        <is>
          <t>CT</t>
        </is>
      </c>
      <c r="D156" s="29" t="inlineStr">
        <is>
          <t>State</t>
        </is>
      </c>
      <c r="E156" s="29" t="inlineStr">
        <is>
          <t>Stephanie DelSignore</t>
        </is>
      </c>
      <c r="F156" s="29" t="inlineStr">
        <is>
          <t>Halena Martin</t>
        </is>
      </c>
      <c r="G156" s="39" t="inlineStr">
        <is>
          <t>Halena Martin</t>
        </is>
      </c>
      <c r="H156" s="29">
        <f>IF(F156="(not in WIP)","New to Enterprise",IF(F156=G156,"No","Yes"))</f>
        <v/>
      </c>
      <c r="I156" s="29">
        <f>IFERROR(INDEX(Lookups!$B$2:$B$14,MATCH(G156,Lookups!$A$2:$A$14,0)),"Not found")</f>
        <v/>
      </c>
      <c r="J156" s="29">
        <f>IFERROR(INDEX(Lookups!$E$2:$E$14,MATCH(G156,Lookups!$A$2:$A$14,0)),"")</f>
        <v/>
      </c>
      <c r="K156" s="39" t="inlineStr">
        <is>
          <t>ET</t>
        </is>
      </c>
      <c r="L156" s="29">
        <f>IF(J156="n/a","n/a",IFERROR(IF(ABS(INDEX(Lookups!$H$2:$H$5,MATCH(J156,Lookups!$G$2:$G$5,0))-INDEX(Lookups!$H$2:$H$5,MATCH(K156,Lookups!$G$2:$G$5,0)))&lt;=1,"Yes","No"),"Check"))</f>
        <v/>
      </c>
      <c r="M156" s="43" t="n">
        <v>0</v>
      </c>
      <c r="N156" s="29" t="inlineStr">
        <is>
          <t>No (Allocated)</t>
        </is>
      </c>
      <c r="O156" s="39" t="n">
        <v>0</v>
      </c>
      <c r="P156" s="27" t="n"/>
      <c r="Q156" s="29">
        <f>IF(N156&lt;&gt;"Yes","n/a",IF(OR(AND(O156&lt;&gt;"",O156&gt;$W$1),P156="Y"),"Yes",IF(O156&lt;&gt;"","No","Pending")))</f>
        <v/>
      </c>
      <c r="R156" s="29" t="n"/>
      <c r="S156" s="29" t="inlineStr">
        <is>
          <t>Carolina Prieto</t>
        </is>
      </c>
      <c r="T156" s="29" t="inlineStr">
        <is>
          <t>State</t>
        </is>
      </c>
      <c r="U156" s="29" t="n"/>
      <c r="X156" s="19" t="inlineStr">
        <is>
          <t>C</t>
        </is>
      </c>
      <c r="Y156" s="19" t="n">
        <v>40.5</v>
      </c>
      <c r="Z156" s="44" t="n">
        <v>0.75</v>
      </c>
      <c r="AA156" s="51" t="n">
        <v>0.543</v>
      </c>
      <c r="AB156" s="47" t="n">
        <v>4</v>
      </c>
      <c r="AC156" s="19" t="inlineStr">
        <is>
          <t>Maintain</t>
        </is>
      </c>
      <c r="AD156" s="19" t="n">
        <v>0</v>
      </c>
      <c r="AE156" s="19" t="inlineStr">
        <is>
          <t>imputed</t>
        </is>
      </c>
    </row>
    <row r="157" ht="15" customHeight="1" s="20">
      <c r="A157" s="29" t="inlineStr">
        <is>
          <t>Connecticut Department of Banking</t>
        </is>
      </c>
      <c r="B157" s="29" t="inlineStr">
        <is>
          <t>Connecticut</t>
        </is>
      </c>
      <c r="C157" s="29" t="inlineStr">
        <is>
          <t>CT</t>
        </is>
      </c>
      <c r="D157" s="29" t="inlineStr">
        <is>
          <t>State</t>
        </is>
      </c>
      <c r="E157" s="29" t="inlineStr">
        <is>
          <t>Stephanie DelSignore</t>
        </is>
      </c>
      <c r="F157" s="29" t="inlineStr">
        <is>
          <t>Halena Martin</t>
        </is>
      </c>
      <c r="G157" s="39" t="inlineStr">
        <is>
          <t>Halena Martin</t>
        </is>
      </c>
      <c r="H157" s="29">
        <f>IF(F157="(not in WIP)","New to Enterprise",IF(F157=G157,"No","Yes"))</f>
        <v/>
      </c>
      <c r="I157" s="29">
        <f>IFERROR(INDEX(Lookups!$B$2:$B$14,MATCH(G157,Lookups!$A$2:$A$14,0)),"Not found")</f>
        <v/>
      </c>
      <c r="J157" s="29">
        <f>IFERROR(INDEX(Lookups!$E$2:$E$14,MATCH(G157,Lookups!$A$2:$A$14,0)),"")</f>
        <v/>
      </c>
      <c r="K157" s="39" t="inlineStr">
        <is>
          <t>ET</t>
        </is>
      </c>
      <c r="L157" s="29">
        <f>IF(J157="n/a","n/a",IFERROR(IF(ABS(INDEX(Lookups!$H$2:$H$5,MATCH(J157,Lookups!$G$2:$G$5,0))-INDEX(Lookups!$H$2:$H$5,MATCH(K157,Lookups!$G$2:$G$5,0)))&lt;=1,"Yes","No"),"Check"))</f>
        <v/>
      </c>
      <c r="M157" s="43" t="n">
        <v>0</v>
      </c>
      <c r="N157" s="29" t="inlineStr">
        <is>
          <t>No (Allocated)</t>
        </is>
      </c>
      <c r="O157" s="39" t="n">
        <v>0</v>
      </c>
      <c r="P157" s="27" t="n"/>
      <c r="Q157" s="29">
        <f>IF(N157&lt;&gt;"Yes","n/a",IF(OR(AND(O157&lt;&gt;"",O157&gt;$W$1),P157="Y"),"Yes",IF(O157&lt;&gt;"","No","Pending")))</f>
        <v/>
      </c>
      <c r="R157" s="29" t="n"/>
      <c r="S157" s="29" t="inlineStr">
        <is>
          <t>Carolina Prieto</t>
        </is>
      </c>
      <c r="T157" s="29" t="inlineStr">
        <is>
          <t>State</t>
        </is>
      </c>
      <c r="U157" s="29" t="n"/>
      <c r="X157" s="19" t="inlineStr">
        <is>
          <t>C</t>
        </is>
      </c>
      <c r="Y157" s="19" t="n">
        <v>40.5</v>
      </c>
      <c r="Z157" s="44" t="n">
        <v>0.75</v>
      </c>
      <c r="AA157" s="51" t="n">
        <v>0.543</v>
      </c>
      <c r="AB157" s="47" t="n">
        <v>4</v>
      </c>
      <c r="AC157" s="19" t="inlineStr">
        <is>
          <t>Maintain</t>
        </is>
      </c>
      <c r="AD157" s="19" t="n">
        <v>0</v>
      </c>
      <c r="AE157" s="19" t="inlineStr">
        <is>
          <t>imputed</t>
        </is>
      </c>
    </row>
    <row r="158" ht="15" customHeight="1" s="20">
      <c r="A158" s="29" t="inlineStr">
        <is>
          <t>Connecticut Department of Correction</t>
        </is>
      </c>
      <c r="B158" s="29" t="inlineStr">
        <is>
          <t>Connecticut</t>
        </is>
      </c>
      <c r="C158" s="29" t="inlineStr">
        <is>
          <t>CT</t>
        </is>
      </c>
      <c r="D158" s="29" t="inlineStr">
        <is>
          <t>State</t>
        </is>
      </c>
      <c r="E158" s="29" t="inlineStr">
        <is>
          <t>Stephanie DelSignore</t>
        </is>
      </c>
      <c r="F158" s="29" t="inlineStr">
        <is>
          <t>Halena Martin</t>
        </is>
      </c>
      <c r="G158" s="39" t="inlineStr">
        <is>
          <t>Halena Martin</t>
        </is>
      </c>
      <c r="H158" s="29">
        <f>IF(F158="(not in WIP)","New to Enterprise",IF(F158=G158,"No","Yes"))</f>
        <v/>
      </c>
      <c r="I158" s="29">
        <f>IFERROR(INDEX(Lookups!$B$2:$B$14,MATCH(G158,Lookups!$A$2:$A$14,0)),"Not found")</f>
        <v/>
      </c>
      <c r="J158" s="29">
        <f>IFERROR(INDEX(Lookups!$E$2:$E$14,MATCH(G158,Lookups!$A$2:$A$14,0)),"")</f>
        <v/>
      </c>
      <c r="K158" s="39" t="inlineStr">
        <is>
          <t>ET</t>
        </is>
      </c>
      <c r="L158" s="29">
        <f>IF(J158="n/a","n/a",IFERROR(IF(ABS(INDEX(Lookups!$H$2:$H$5,MATCH(J158,Lookups!$G$2:$G$5,0))-INDEX(Lookups!$H$2:$H$5,MATCH(K158,Lookups!$G$2:$G$5,0)))&lt;=1,"Yes","No"),"Check"))</f>
        <v/>
      </c>
      <c r="M158" s="43" t="n">
        <v>0</v>
      </c>
      <c r="N158" s="29" t="inlineStr">
        <is>
          <t>No (Allocated)</t>
        </is>
      </c>
      <c r="O158" s="39" t="n">
        <v>0</v>
      </c>
      <c r="P158" s="27" t="n"/>
      <c r="Q158" s="29">
        <f>IF(N158&lt;&gt;"Yes","n/a",IF(OR(AND(O158&lt;&gt;"",O158&gt;$W$1),P158="Y"),"Yes",IF(O158&lt;&gt;"","No","Pending")))</f>
        <v/>
      </c>
      <c r="R158" s="29" t="n"/>
      <c r="S158" s="29" t="inlineStr">
        <is>
          <t>Carolina Prieto</t>
        </is>
      </c>
      <c r="T158" s="29" t="inlineStr">
        <is>
          <t>State</t>
        </is>
      </c>
      <c r="U158" s="29" t="n"/>
      <c r="X158" s="19" t="inlineStr">
        <is>
          <t>C</t>
        </is>
      </c>
      <c r="Y158" s="19" t="n">
        <v>40.5</v>
      </c>
      <c r="Z158" s="44" t="n">
        <v>0.75</v>
      </c>
      <c r="AA158" s="51" t="n">
        <v>0.543</v>
      </c>
      <c r="AB158" s="47" t="n">
        <v>4</v>
      </c>
      <c r="AC158" s="19" t="inlineStr">
        <is>
          <t>Maintain</t>
        </is>
      </c>
      <c r="AD158" s="19" t="n">
        <v>0</v>
      </c>
      <c r="AE158" s="19" t="inlineStr">
        <is>
          <t>imputed</t>
        </is>
      </c>
    </row>
    <row r="159" ht="15" customHeight="1" s="20">
      <c r="A159" s="29" t="inlineStr">
        <is>
          <t>Connecticut Department of Agriculture</t>
        </is>
      </c>
      <c r="B159" s="29" t="inlineStr">
        <is>
          <t>Connecticut</t>
        </is>
      </c>
      <c r="C159" s="29" t="inlineStr">
        <is>
          <t>CT</t>
        </is>
      </c>
      <c r="D159" s="29" t="inlineStr">
        <is>
          <t>State</t>
        </is>
      </c>
      <c r="E159" s="29" t="inlineStr">
        <is>
          <t>Stephanie DelSignore</t>
        </is>
      </c>
      <c r="F159" s="29" t="inlineStr">
        <is>
          <t>Halena Martin</t>
        </is>
      </c>
      <c r="G159" s="39" t="inlineStr">
        <is>
          <t>Halena Martin</t>
        </is>
      </c>
      <c r="H159" s="29">
        <f>IF(F159="(not in WIP)","New to Enterprise",IF(F159=G159,"No","Yes"))</f>
        <v/>
      </c>
      <c r="I159" s="29">
        <f>IFERROR(INDEX(Lookups!$B$2:$B$14,MATCH(G159,Lookups!$A$2:$A$14,0)),"Not found")</f>
        <v/>
      </c>
      <c r="J159" s="29">
        <f>IFERROR(INDEX(Lookups!$E$2:$E$14,MATCH(G159,Lookups!$A$2:$A$14,0)),"")</f>
        <v/>
      </c>
      <c r="K159" s="39" t="inlineStr">
        <is>
          <t>ET</t>
        </is>
      </c>
      <c r="L159" s="29">
        <f>IF(J159="n/a","n/a",IFERROR(IF(ABS(INDEX(Lookups!$H$2:$H$5,MATCH(J159,Lookups!$G$2:$G$5,0))-INDEX(Lookups!$H$2:$H$5,MATCH(K159,Lookups!$G$2:$G$5,0)))&lt;=1,"Yes","No"),"Check"))</f>
        <v/>
      </c>
      <c r="M159" s="43" t="n">
        <v>0</v>
      </c>
      <c r="N159" s="29" t="inlineStr">
        <is>
          <t>No (Allocated)</t>
        </is>
      </c>
      <c r="O159" s="39" t="n">
        <v>0</v>
      </c>
      <c r="P159" s="27" t="n"/>
      <c r="Q159" s="29">
        <f>IF(N159&lt;&gt;"Yes","n/a",IF(OR(AND(O159&lt;&gt;"",O159&gt;$W$1),P159="Y"),"Yes",IF(O159&lt;&gt;"","No","Pending")))</f>
        <v/>
      </c>
      <c r="R159" s="29" t="n"/>
      <c r="S159" s="29" t="inlineStr">
        <is>
          <t>Carolina Prieto</t>
        </is>
      </c>
      <c r="T159" s="29" t="inlineStr">
        <is>
          <t>State</t>
        </is>
      </c>
      <c r="U159" s="29" t="n"/>
      <c r="X159" s="19" t="inlineStr">
        <is>
          <t>C</t>
        </is>
      </c>
      <c r="Y159" s="19" t="n">
        <v>40.5</v>
      </c>
      <c r="Z159" s="44" t="n">
        <v>0.75</v>
      </c>
      <c r="AA159" s="51" t="n">
        <v>0.543</v>
      </c>
      <c r="AB159" s="47" t="n">
        <v>4</v>
      </c>
      <c r="AC159" s="19" t="inlineStr">
        <is>
          <t>Maintain</t>
        </is>
      </c>
      <c r="AD159" s="19" t="n">
        <v>0</v>
      </c>
      <c r="AE159" s="19" t="inlineStr">
        <is>
          <t>imputed</t>
        </is>
      </c>
    </row>
    <row r="160" ht="15" customHeight="1" s="20">
      <c r="A160" s="29" t="inlineStr">
        <is>
          <t>Connecticut Department of Children and Families</t>
        </is>
      </c>
      <c r="B160" s="29" t="inlineStr">
        <is>
          <t>Connecticut</t>
        </is>
      </c>
      <c r="C160" s="29" t="inlineStr">
        <is>
          <t>CT</t>
        </is>
      </c>
      <c r="D160" s="29" t="inlineStr">
        <is>
          <t>State</t>
        </is>
      </c>
      <c r="E160" s="29" t="inlineStr">
        <is>
          <t>Stephanie DelSignore</t>
        </is>
      </c>
      <c r="F160" s="29" t="inlineStr">
        <is>
          <t>Halena Martin</t>
        </is>
      </c>
      <c r="G160" s="39" t="inlineStr">
        <is>
          <t>Halena Martin</t>
        </is>
      </c>
      <c r="H160" s="29">
        <f>IF(F160="(not in WIP)","New to Enterprise",IF(F160=G160,"No","Yes"))</f>
        <v/>
      </c>
      <c r="I160" s="29">
        <f>IFERROR(INDEX(Lookups!$B$2:$B$14,MATCH(G160,Lookups!$A$2:$A$14,0)),"Not found")</f>
        <v/>
      </c>
      <c r="J160" s="29">
        <f>IFERROR(INDEX(Lookups!$E$2:$E$14,MATCH(G160,Lookups!$A$2:$A$14,0)),"")</f>
        <v/>
      </c>
      <c r="K160" s="39" t="inlineStr">
        <is>
          <t>ET</t>
        </is>
      </c>
      <c r="L160" s="29">
        <f>IF(J160="n/a","n/a",IFERROR(IF(ABS(INDEX(Lookups!$H$2:$H$5,MATCH(J160,Lookups!$G$2:$G$5,0))-INDEX(Lookups!$H$2:$H$5,MATCH(K160,Lookups!$G$2:$G$5,0)))&lt;=1,"Yes","No"),"Check"))</f>
        <v/>
      </c>
      <c r="M160" s="43" t="n">
        <v>0</v>
      </c>
      <c r="N160" s="29" t="inlineStr">
        <is>
          <t>No (Allocated)</t>
        </is>
      </c>
      <c r="O160" s="39" t="n">
        <v>0</v>
      </c>
      <c r="P160" s="27" t="n"/>
      <c r="Q160" s="29">
        <f>IF(N160&lt;&gt;"Yes","n/a",IF(OR(AND(O160&lt;&gt;"",O160&gt;$W$1),P160="Y"),"Yes",IF(O160&lt;&gt;"","No","Pending")))</f>
        <v/>
      </c>
      <c r="R160" s="29" t="n"/>
      <c r="S160" s="29" t="inlineStr">
        <is>
          <t>Carolina Prieto</t>
        </is>
      </c>
      <c r="T160" s="29" t="inlineStr">
        <is>
          <t>State</t>
        </is>
      </c>
      <c r="U160" s="29" t="n"/>
      <c r="X160" s="19" t="inlineStr">
        <is>
          <t>C</t>
        </is>
      </c>
      <c r="Y160" s="19" t="n">
        <v>40.5</v>
      </c>
      <c r="Z160" s="44" t="n">
        <v>0.75</v>
      </c>
      <c r="AA160" s="51" t="n">
        <v>0.543</v>
      </c>
      <c r="AB160" s="47" t="n">
        <v>4</v>
      </c>
      <c r="AC160" s="19" t="inlineStr">
        <is>
          <t>Maintain</t>
        </is>
      </c>
      <c r="AD160" s="19" t="n">
        <v>0</v>
      </c>
      <c r="AE160" s="19" t="inlineStr">
        <is>
          <t>imputed</t>
        </is>
      </c>
    </row>
    <row r="161" ht="15" customHeight="1" s="20">
      <c r="A161" s="29" t="inlineStr">
        <is>
          <t>Connecticut Department of Labor</t>
        </is>
      </c>
      <c r="B161" s="29" t="inlineStr">
        <is>
          <t>Connecticut</t>
        </is>
      </c>
      <c r="C161" s="29" t="inlineStr">
        <is>
          <t>CT</t>
        </is>
      </c>
      <c r="D161" s="29" t="inlineStr">
        <is>
          <t>State</t>
        </is>
      </c>
      <c r="E161" s="29" t="inlineStr">
        <is>
          <t>Stephanie DelSignore</t>
        </is>
      </c>
      <c r="F161" s="29" t="inlineStr">
        <is>
          <t>Halena Martin</t>
        </is>
      </c>
      <c r="G161" s="39" t="inlineStr">
        <is>
          <t>Halena Martin</t>
        </is>
      </c>
      <c r="H161" s="29">
        <f>IF(F161="(not in WIP)","New to Enterprise",IF(F161=G161,"No","Yes"))</f>
        <v/>
      </c>
      <c r="I161" s="29">
        <f>IFERROR(INDEX(Lookups!$B$2:$B$14,MATCH(G161,Lookups!$A$2:$A$14,0)),"Not found")</f>
        <v/>
      </c>
      <c r="J161" s="29">
        <f>IFERROR(INDEX(Lookups!$E$2:$E$14,MATCH(G161,Lookups!$A$2:$A$14,0)),"")</f>
        <v/>
      </c>
      <c r="K161" s="39" t="inlineStr">
        <is>
          <t>ET</t>
        </is>
      </c>
      <c r="L161" s="29">
        <f>IF(J161="n/a","n/a",IFERROR(IF(ABS(INDEX(Lookups!$H$2:$H$5,MATCH(J161,Lookups!$G$2:$G$5,0))-INDEX(Lookups!$H$2:$H$5,MATCH(K161,Lookups!$G$2:$G$5,0)))&lt;=1,"Yes","No"),"Check"))</f>
        <v/>
      </c>
      <c r="M161" s="43" t="n">
        <v>0</v>
      </c>
      <c r="N161" s="29" t="inlineStr">
        <is>
          <t>No (Allocated)</t>
        </is>
      </c>
      <c r="O161" s="39" t="n">
        <v>0</v>
      </c>
      <c r="P161" s="27" t="n"/>
      <c r="Q161" s="29">
        <f>IF(N161&lt;&gt;"Yes","n/a",IF(OR(AND(O161&lt;&gt;"",O161&gt;$W$1),P161="Y"),"Yes",IF(O161&lt;&gt;"","No","Pending")))</f>
        <v/>
      </c>
      <c r="R161" s="29" t="n"/>
      <c r="S161" s="29" t="inlineStr">
        <is>
          <t>Carolina Prieto</t>
        </is>
      </c>
      <c r="T161" s="29" t="inlineStr">
        <is>
          <t>State</t>
        </is>
      </c>
      <c r="U161" s="29" t="n"/>
      <c r="X161" s="19" t="inlineStr">
        <is>
          <t>C</t>
        </is>
      </c>
      <c r="Y161" s="19" t="n">
        <v>40.5</v>
      </c>
      <c r="Z161" s="44" t="n">
        <v>0.75</v>
      </c>
      <c r="AA161" s="51" t="n">
        <v>0.543</v>
      </c>
      <c r="AB161" s="47" t="n">
        <v>4</v>
      </c>
      <c r="AC161" s="19" t="inlineStr">
        <is>
          <t>Maintain</t>
        </is>
      </c>
      <c r="AD161" s="19" t="n">
        <v>0</v>
      </c>
      <c r="AE161" s="19" t="inlineStr">
        <is>
          <t>imputed</t>
        </is>
      </c>
    </row>
    <row r="162" ht="15" customHeight="1" s="20">
      <c r="A162" s="29" t="inlineStr">
        <is>
          <t>Connecticut Department of Energy and Environmental Protection (DEEP)</t>
        </is>
      </c>
      <c r="B162" s="29" t="inlineStr">
        <is>
          <t>Connecticut</t>
        </is>
      </c>
      <c r="C162" s="29" t="inlineStr">
        <is>
          <t>CT</t>
        </is>
      </c>
      <c r="D162" s="29" t="inlineStr">
        <is>
          <t>State</t>
        </is>
      </c>
      <c r="E162" s="29" t="inlineStr">
        <is>
          <t>Stephanie DelSignore</t>
        </is>
      </c>
      <c r="F162" s="29" t="inlineStr">
        <is>
          <t>Halena Martin</t>
        </is>
      </c>
      <c r="G162" s="39" t="inlineStr">
        <is>
          <t>Halena Martin</t>
        </is>
      </c>
      <c r="H162" s="29">
        <f>IF(F162="(not in WIP)","New to Enterprise",IF(F162=G162,"No","Yes"))</f>
        <v/>
      </c>
      <c r="I162" s="29">
        <f>IFERROR(INDEX(Lookups!$B$2:$B$14,MATCH(G162,Lookups!$A$2:$A$14,0)),"Not found")</f>
        <v/>
      </c>
      <c r="J162" s="29">
        <f>IFERROR(INDEX(Lookups!$E$2:$E$14,MATCH(G162,Lookups!$A$2:$A$14,0)),"")</f>
        <v/>
      </c>
      <c r="K162" s="39" t="inlineStr">
        <is>
          <t>ET</t>
        </is>
      </c>
      <c r="L162" s="29">
        <f>IF(J162="n/a","n/a",IFERROR(IF(ABS(INDEX(Lookups!$H$2:$H$5,MATCH(J162,Lookups!$G$2:$G$5,0))-INDEX(Lookups!$H$2:$H$5,MATCH(K162,Lookups!$G$2:$G$5,0)))&lt;=1,"Yes","No"),"Check"))</f>
        <v/>
      </c>
      <c r="M162" s="43" t="n">
        <v>0</v>
      </c>
      <c r="N162" s="29" t="inlineStr">
        <is>
          <t>No (Allocated)</t>
        </is>
      </c>
      <c r="O162" s="39" t="n">
        <v>0</v>
      </c>
      <c r="P162" s="27" t="n"/>
      <c r="Q162" s="29">
        <f>IF(N162&lt;&gt;"Yes","n/a",IF(OR(AND(O162&lt;&gt;"",O162&gt;$W$1),P162="Y"),"Yes",IF(O162&lt;&gt;"","No","Pending")))</f>
        <v/>
      </c>
      <c r="R162" s="29" t="n"/>
      <c r="S162" s="29" t="inlineStr">
        <is>
          <t>Carolina Prieto</t>
        </is>
      </c>
      <c r="T162" s="29" t="inlineStr">
        <is>
          <t>State</t>
        </is>
      </c>
      <c r="U162" s="29" t="n"/>
      <c r="X162" s="19" t="inlineStr">
        <is>
          <t>C</t>
        </is>
      </c>
      <c r="Y162" s="19" t="n">
        <v>40.5</v>
      </c>
      <c r="Z162" s="44" t="n">
        <v>0.75</v>
      </c>
      <c r="AA162" s="51" t="n">
        <v>0.543</v>
      </c>
      <c r="AB162" s="47" t="n">
        <v>4</v>
      </c>
      <c r="AC162" s="19" t="inlineStr">
        <is>
          <t>Maintain</t>
        </is>
      </c>
      <c r="AD162" s="19" t="n">
        <v>0</v>
      </c>
      <c r="AE162" s="19" t="inlineStr">
        <is>
          <t>imputed</t>
        </is>
      </c>
    </row>
    <row r="163" ht="15" customHeight="1" s="20">
      <c r="A163" s="29" t="inlineStr">
        <is>
          <t>Connecticut Department of Economic &amp; Community Development</t>
        </is>
      </c>
      <c r="B163" s="29" t="inlineStr">
        <is>
          <t>Connecticut</t>
        </is>
      </c>
      <c r="C163" s="29" t="inlineStr">
        <is>
          <t>CT</t>
        </is>
      </c>
      <c r="D163" s="29" t="inlineStr">
        <is>
          <t>State</t>
        </is>
      </c>
      <c r="E163" s="29" t="inlineStr">
        <is>
          <t>Stephanie DelSignore</t>
        </is>
      </c>
      <c r="F163" s="29" t="inlineStr">
        <is>
          <t>Halena Martin</t>
        </is>
      </c>
      <c r="G163" s="39" t="inlineStr">
        <is>
          <t>Halena Martin</t>
        </is>
      </c>
      <c r="H163" s="29">
        <f>IF(F163="(not in WIP)","New to Enterprise",IF(F163=G163,"No","Yes"))</f>
        <v/>
      </c>
      <c r="I163" s="29">
        <f>IFERROR(INDEX(Lookups!$B$2:$B$14,MATCH(G163,Lookups!$A$2:$A$14,0)),"Not found")</f>
        <v/>
      </c>
      <c r="J163" s="29">
        <f>IFERROR(INDEX(Lookups!$E$2:$E$14,MATCH(G163,Lookups!$A$2:$A$14,0)),"")</f>
        <v/>
      </c>
      <c r="K163" s="39" t="inlineStr">
        <is>
          <t>ET</t>
        </is>
      </c>
      <c r="L163" s="29">
        <f>IF(J163="n/a","n/a",IFERROR(IF(ABS(INDEX(Lookups!$H$2:$H$5,MATCH(J163,Lookups!$G$2:$G$5,0))-INDEX(Lookups!$H$2:$H$5,MATCH(K163,Lookups!$G$2:$G$5,0)))&lt;=1,"Yes","No"),"Check"))</f>
        <v/>
      </c>
      <c r="M163" s="43" t="n">
        <v>0</v>
      </c>
      <c r="N163" s="29" t="inlineStr">
        <is>
          <t>No (Allocated)</t>
        </is>
      </c>
      <c r="O163" s="39" t="n">
        <v>0</v>
      </c>
      <c r="P163" s="27" t="n"/>
      <c r="Q163" s="29">
        <f>IF(N163&lt;&gt;"Yes","n/a",IF(OR(AND(O163&lt;&gt;"",O163&gt;$W$1),P163="Y"),"Yes",IF(O163&lt;&gt;"","No","Pending")))</f>
        <v/>
      </c>
      <c r="R163" s="29" t="n"/>
      <c r="S163" s="29" t="inlineStr">
        <is>
          <t>Carolina Prieto</t>
        </is>
      </c>
      <c r="T163" s="29" t="inlineStr">
        <is>
          <t>State</t>
        </is>
      </c>
      <c r="U163" s="29" t="n"/>
      <c r="X163" s="19" t="inlineStr">
        <is>
          <t>C</t>
        </is>
      </c>
      <c r="Y163" s="19" t="n">
        <v>40.5</v>
      </c>
      <c r="Z163" s="44" t="n">
        <v>0.75</v>
      </c>
      <c r="AA163" s="51" t="n">
        <v>0.543</v>
      </c>
      <c r="AB163" s="47" t="n">
        <v>4</v>
      </c>
      <c r="AC163" s="19" t="inlineStr">
        <is>
          <t>Maintain</t>
        </is>
      </c>
      <c r="AD163" s="19" t="n">
        <v>0</v>
      </c>
      <c r="AE163" s="19" t="inlineStr">
        <is>
          <t>imputed</t>
        </is>
      </c>
    </row>
    <row r="164" ht="15" customHeight="1" s="20">
      <c r="A164" s="29" t="inlineStr">
        <is>
          <t>Connecticut Department of Housing</t>
        </is>
      </c>
      <c r="B164" s="29" t="inlineStr">
        <is>
          <t>Connecticut</t>
        </is>
      </c>
      <c r="C164" s="29" t="inlineStr">
        <is>
          <t>CT</t>
        </is>
      </c>
      <c r="D164" s="29" t="inlineStr">
        <is>
          <t>State</t>
        </is>
      </c>
      <c r="E164" s="29" t="inlineStr">
        <is>
          <t>Stephanie DelSignore</t>
        </is>
      </c>
      <c r="F164" s="29" t="inlineStr">
        <is>
          <t>Halena Martin</t>
        </is>
      </c>
      <c r="G164" s="39" t="inlineStr">
        <is>
          <t>Halena Martin</t>
        </is>
      </c>
      <c r="H164" s="29">
        <f>IF(F164="(not in WIP)","New to Enterprise",IF(F164=G164,"No","Yes"))</f>
        <v/>
      </c>
      <c r="I164" s="29">
        <f>IFERROR(INDEX(Lookups!$B$2:$B$14,MATCH(G164,Lookups!$A$2:$A$14,0)),"Not found")</f>
        <v/>
      </c>
      <c r="J164" s="29">
        <f>IFERROR(INDEX(Lookups!$E$2:$E$14,MATCH(G164,Lookups!$A$2:$A$14,0)),"")</f>
        <v/>
      </c>
      <c r="K164" s="39" t="inlineStr">
        <is>
          <t>ET</t>
        </is>
      </c>
      <c r="L164" s="29">
        <f>IF(J164="n/a","n/a",IFERROR(IF(ABS(INDEX(Lookups!$H$2:$H$5,MATCH(J164,Lookups!$G$2:$G$5,0))-INDEX(Lookups!$H$2:$H$5,MATCH(K164,Lookups!$G$2:$G$5,0)))&lt;=1,"Yes","No"),"Check"))</f>
        <v/>
      </c>
      <c r="M164" s="43" t="n">
        <v>0</v>
      </c>
      <c r="N164" s="29" t="inlineStr">
        <is>
          <t>No (Allocated)</t>
        </is>
      </c>
      <c r="O164" s="39" t="n">
        <v>0</v>
      </c>
      <c r="P164" s="27" t="n"/>
      <c r="Q164" s="29">
        <f>IF(N164&lt;&gt;"Yes","n/a",IF(OR(AND(O164&lt;&gt;"",O164&gt;$W$1),P164="Y"),"Yes",IF(O164&lt;&gt;"","No","Pending")))</f>
        <v/>
      </c>
      <c r="R164" s="29" t="n"/>
      <c r="S164" s="29" t="inlineStr">
        <is>
          <t>Carolina Prieto</t>
        </is>
      </c>
      <c r="T164" s="29" t="inlineStr">
        <is>
          <t>State</t>
        </is>
      </c>
      <c r="U164" s="29" t="n"/>
      <c r="X164" s="19" t="inlineStr">
        <is>
          <t>C</t>
        </is>
      </c>
      <c r="Y164" s="19" t="n">
        <v>40.5</v>
      </c>
      <c r="Z164" s="44" t="n">
        <v>0.75</v>
      </c>
      <c r="AA164" s="51" t="n">
        <v>0.543</v>
      </c>
      <c r="AB164" s="47" t="n">
        <v>4</v>
      </c>
      <c r="AC164" s="19" t="inlineStr">
        <is>
          <t>Maintain</t>
        </is>
      </c>
      <c r="AD164" s="19" t="n">
        <v>0</v>
      </c>
      <c r="AE164" s="19" t="inlineStr">
        <is>
          <t>imputed</t>
        </is>
      </c>
    </row>
    <row r="165" ht="15" customHeight="1" s="20">
      <c r="A165" s="29" t="inlineStr">
        <is>
          <t>Connecticut Insurance Department</t>
        </is>
      </c>
      <c r="B165" s="29" t="inlineStr">
        <is>
          <t>Connecticut</t>
        </is>
      </c>
      <c r="C165" s="29" t="inlineStr">
        <is>
          <t>CT</t>
        </is>
      </c>
      <c r="D165" s="29" t="inlineStr">
        <is>
          <t>State</t>
        </is>
      </c>
      <c r="E165" s="29" t="inlineStr">
        <is>
          <t>Stephanie DelSignore</t>
        </is>
      </c>
      <c r="F165" s="29" t="inlineStr">
        <is>
          <t>Halena Martin</t>
        </is>
      </c>
      <c r="G165" s="39" t="inlineStr">
        <is>
          <t>Halena Martin</t>
        </is>
      </c>
      <c r="H165" s="29">
        <f>IF(F165="(not in WIP)","New to Enterprise",IF(F165=G165,"No","Yes"))</f>
        <v/>
      </c>
      <c r="I165" s="29">
        <f>IFERROR(INDEX(Lookups!$B$2:$B$14,MATCH(G165,Lookups!$A$2:$A$14,0)),"Not found")</f>
        <v/>
      </c>
      <c r="J165" s="29">
        <f>IFERROR(INDEX(Lookups!$E$2:$E$14,MATCH(G165,Lookups!$A$2:$A$14,0)),"")</f>
        <v/>
      </c>
      <c r="K165" s="39" t="inlineStr">
        <is>
          <t>ET</t>
        </is>
      </c>
      <c r="L165" s="29">
        <f>IF(J165="n/a","n/a",IFERROR(IF(ABS(INDEX(Lookups!$H$2:$H$5,MATCH(J165,Lookups!$G$2:$G$5,0))-INDEX(Lookups!$H$2:$H$5,MATCH(K165,Lookups!$G$2:$G$5,0)))&lt;=1,"Yes","No"),"Check"))</f>
        <v/>
      </c>
      <c r="M165" s="43" t="n">
        <v>0</v>
      </c>
      <c r="N165" s="29" t="inlineStr">
        <is>
          <t>No (Allocated)</t>
        </is>
      </c>
      <c r="O165" s="39" t="n">
        <v>0</v>
      </c>
      <c r="P165" s="27" t="n"/>
      <c r="Q165" s="29">
        <f>IF(N165&lt;&gt;"Yes","n/a",IF(OR(AND(O165&lt;&gt;"",O165&gt;$W$1),P165="Y"),"Yes",IF(O165&lt;&gt;"","No","Pending")))</f>
        <v/>
      </c>
      <c r="R165" s="29" t="n"/>
      <c r="S165" s="29" t="inlineStr">
        <is>
          <t>Carolina Prieto</t>
        </is>
      </c>
      <c r="T165" s="29" t="inlineStr">
        <is>
          <t>State</t>
        </is>
      </c>
      <c r="U165" s="29" t="n"/>
      <c r="X165" s="19" t="inlineStr">
        <is>
          <t>C</t>
        </is>
      </c>
      <c r="Y165" s="19" t="n">
        <v>40.5</v>
      </c>
      <c r="Z165" s="44" t="n">
        <v>0.75</v>
      </c>
      <c r="AA165" s="51" t="n">
        <v>0.543</v>
      </c>
      <c r="AB165" s="47" t="n">
        <v>4</v>
      </c>
      <c r="AC165" s="19" t="inlineStr">
        <is>
          <t>Maintain</t>
        </is>
      </c>
      <c r="AD165" s="19" t="n">
        <v>0</v>
      </c>
      <c r="AE165" s="19" t="inlineStr">
        <is>
          <t>imputed</t>
        </is>
      </c>
    </row>
    <row r="166" ht="15" customHeight="1" s="20">
      <c r="A166" s="29" t="inlineStr">
        <is>
          <t>Connecticut Developmental Services Department</t>
        </is>
      </c>
      <c r="B166" s="29" t="inlineStr">
        <is>
          <t>Connecticut</t>
        </is>
      </c>
      <c r="C166" s="29" t="inlineStr">
        <is>
          <t>CT</t>
        </is>
      </c>
      <c r="D166" s="29" t="inlineStr">
        <is>
          <t>State</t>
        </is>
      </c>
      <c r="E166" s="29" t="inlineStr">
        <is>
          <t>Stephanie DelSignore</t>
        </is>
      </c>
      <c r="F166" s="29" t="inlineStr">
        <is>
          <t>Halena Martin</t>
        </is>
      </c>
      <c r="G166" s="39" t="inlineStr">
        <is>
          <t>Halena Martin</t>
        </is>
      </c>
      <c r="H166" s="29">
        <f>IF(F166="(not in WIP)","New to Enterprise",IF(F166=G166,"No","Yes"))</f>
        <v/>
      </c>
      <c r="I166" s="29">
        <f>IFERROR(INDEX(Lookups!$B$2:$B$14,MATCH(G166,Lookups!$A$2:$A$14,0)),"Not found")</f>
        <v/>
      </c>
      <c r="J166" s="29">
        <f>IFERROR(INDEX(Lookups!$E$2:$E$14,MATCH(G166,Lookups!$A$2:$A$14,0)),"")</f>
        <v/>
      </c>
      <c r="K166" s="39" t="inlineStr">
        <is>
          <t>ET</t>
        </is>
      </c>
      <c r="L166" s="29">
        <f>IF(J166="n/a","n/a",IFERROR(IF(ABS(INDEX(Lookups!$H$2:$H$5,MATCH(J166,Lookups!$G$2:$G$5,0))-INDEX(Lookups!$H$2:$H$5,MATCH(K166,Lookups!$G$2:$G$5,0)))&lt;=1,"Yes","No"),"Check"))</f>
        <v/>
      </c>
      <c r="M166" s="43" t="n">
        <v>0</v>
      </c>
      <c r="N166" s="29" t="inlineStr">
        <is>
          <t>No (Allocated)</t>
        </is>
      </c>
      <c r="O166" s="39" t="n">
        <v>0</v>
      </c>
      <c r="P166" s="27" t="n"/>
      <c r="Q166" s="29">
        <f>IF(N166&lt;&gt;"Yes","n/a",IF(OR(AND(O166&lt;&gt;"",O166&gt;$W$1),P166="Y"),"Yes",IF(O166&lt;&gt;"","No","Pending")))</f>
        <v/>
      </c>
      <c r="R166" s="29" t="n"/>
      <c r="S166" s="29" t="inlineStr">
        <is>
          <t>Carolina Prieto</t>
        </is>
      </c>
      <c r="T166" s="29" t="inlineStr">
        <is>
          <t>State</t>
        </is>
      </c>
      <c r="U166" s="29" t="n"/>
      <c r="X166" s="19" t="inlineStr">
        <is>
          <t>C</t>
        </is>
      </c>
      <c r="Y166" s="19" t="n">
        <v>40.5</v>
      </c>
      <c r="Z166" s="44" t="n">
        <v>0.75</v>
      </c>
      <c r="AA166" s="51" t="n">
        <v>0.543</v>
      </c>
      <c r="AB166" s="47" t="n">
        <v>4</v>
      </c>
      <c r="AC166" s="19" t="inlineStr">
        <is>
          <t>Maintain</t>
        </is>
      </c>
      <c r="AD166" s="19" t="n">
        <v>0</v>
      </c>
      <c r="AE166" s="19" t="inlineStr">
        <is>
          <t>imputed</t>
        </is>
      </c>
    </row>
    <row r="167" ht="15" customHeight="1" s="20">
      <c r="A167" s="29" t="inlineStr">
        <is>
          <t>Connecticut Office of Early Childhood</t>
        </is>
      </c>
      <c r="B167" s="29" t="inlineStr">
        <is>
          <t>Connecticut</t>
        </is>
      </c>
      <c r="C167" s="29" t="inlineStr">
        <is>
          <t>CT</t>
        </is>
      </c>
      <c r="D167" s="29" t="inlineStr">
        <is>
          <t>State</t>
        </is>
      </c>
      <c r="E167" s="29" t="inlineStr">
        <is>
          <t>Stephanie DelSignore</t>
        </is>
      </c>
      <c r="F167" s="29" t="inlineStr">
        <is>
          <t>Halena Martin</t>
        </is>
      </c>
      <c r="G167" s="39" t="inlineStr">
        <is>
          <t>Halena Martin</t>
        </is>
      </c>
      <c r="H167" s="29">
        <f>IF(F167="(not in WIP)","New to Enterprise",IF(F167=G167,"No","Yes"))</f>
        <v/>
      </c>
      <c r="I167" s="29">
        <f>IFERROR(INDEX(Lookups!$B$2:$B$14,MATCH(G167,Lookups!$A$2:$A$14,0)),"Not found")</f>
        <v/>
      </c>
      <c r="J167" s="29">
        <f>IFERROR(INDEX(Lookups!$E$2:$E$14,MATCH(G167,Lookups!$A$2:$A$14,0)),"")</f>
        <v/>
      </c>
      <c r="K167" s="39" t="inlineStr">
        <is>
          <t>ET</t>
        </is>
      </c>
      <c r="L167" s="29">
        <f>IF(J167="n/a","n/a",IFERROR(IF(ABS(INDEX(Lookups!$H$2:$H$5,MATCH(J167,Lookups!$G$2:$G$5,0))-INDEX(Lookups!$H$2:$H$5,MATCH(K167,Lookups!$G$2:$G$5,0)))&lt;=1,"Yes","No"),"Check"))</f>
        <v/>
      </c>
      <c r="M167" s="43" t="n">
        <v>0</v>
      </c>
      <c r="N167" s="29" t="inlineStr">
        <is>
          <t>No (Allocated)</t>
        </is>
      </c>
      <c r="O167" s="39" t="n">
        <v>0</v>
      </c>
      <c r="P167" s="27" t="n"/>
      <c r="Q167" s="29">
        <f>IF(N167&lt;&gt;"Yes","n/a",IF(OR(AND(O167&lt;&gt;"",O167&gt;$W$1),P167="Y"),"Yes",IF(O167&lt;&gt;"","No","Pending")))</f>
        <v/>
      </c>
      <c r="R167" s="29" t="n"/>
      <c r="S167" s="29" t="inlineStr">
        <is>
          <t>Carolina Prieto</t>
        </is>
      </c>
      <c r="T167" s="29" t="inlineStr">
        <is>
          <t>State</t>
        </is>
      </c>
      <c r="U167" s="29" t="n"/>
      <c r="X167" s="19" t="inlineStr">
        <is>
          <t>C</t>
        </is>
      </c>
      <c r="Y167" s="19" t="n">
        <v>40.5</v>
      </c>
      <c r="Z167" s="44" t="n">
        <v>0.75</v>
      </c>
      <c r="AA167" s="51" t="n">
        <v>0.543</v>
      </c>
      <c r="AB167" s="47" t="n">
        <v>4</v>
      </c>
      <c r="AC167" s="19" t="inlineStr">
        <is>
          <t>Maintain</t>
        </is>
      </c>
      <c r="AD167" s="19" t="n">
        <v>0</v>
      </c>
      <c r="AE167" s="19" t="inlineStr">
        <is>
          <t>imputed</t>
        </is>
      </c>
    </row>
    <row r="168" ht="15" customHeight="1" s="20">
      <c r="A168" s="29" t="inlineStr">
        <is>
          <t>Connecticut Office of Health Strategy</t>
        </is>
      </c>
      <c r="B168" s="29" t="inlineStr">
        <is>
          <t>Connecticut</t>
        </is>
      </c>
      <c r="C168" s="29" t="inlineStr">
        <is>
          <t>CT</t>
        </is>
      </c>
      <c r="D168" s="29" t="inlineStr">
        <is>
          <t>State</t>
        </is>
      </c>
      <c r="E168" s="29" t="inlineStr">
        <is>
          <t>Stephanie DelSignore</t>
        </is>
      </c>
      <c r="F168" s="29" t="inlineStr">
        <is>
          <t>Halena Martin</t>
        </is>
      </c>
      <c r="G168" s="39" t="inlineStr">
        <is>
          <t>Halena Martin</t>
        </is>
      </c>
      <c r="H168" s="29">
        <f>IF(F168="(not in WIP)","New to Enterprise",IF(F168=G168,"No","Yes"))</f>
        <v/>
      </c>
      <c r="I168" s="29">
        <f>IFERROR(INDEX(Lookups!$B$2:$B$14,MATCH(G168,Lookups!$A$2:$A$14,0)),"Not found")</f>
        <v/>
      </c>
      <c r="J168" s="29">
        <f>IFERROR(INDEX(Lookups!$E$2:$E$14,MATCH(G168,Lookups!$A$2:$A$14,0)),"")</f>
        <v/>
      </c>
      <c r="K168" s="39" t="inlineStr">
        <is>
          <t>ET</t>
        </is>
      </c>
      <c r="L168" s="29">
        <f>IF(J168="n/a","n/a",IFERROR(IF(ABS(INDEX(Lookups!$H$2:$H$5,MATCH(J168,Lookups!$G$2:$G$5,0))-INDEX(Lookups!$H$2:$H$5,MATCH(K168,Lookups!$G$2:$G$5,0)))&lt;=1,"Yes","No"),"Check"))</f>
        <v/>
      </c>
      <c r="M168" s="43" t="n">
        <v>0</v>
      </c>
      <c r="N168" s="29" t="inlineStr">
        <is>
          <t>No (Allocated)</t>
        </is>
      </c>
      <c r="O168" s="39" t="n">
        <v>0</v>
      </c>
      <c r="P168" s="27" t="n"/>
      <c r="Q168" s="29">
        <f>IF(N168&lt;&gt;"Yes","n/a",IF(OR(AND(O168&lt;&gt;"",O168&gt;$W$1),P168="Y"),"Yes",IF(O168&lt;&gt;"","No","Pending")))</f>
        <v/>
      </c>
      <c r="R168" s="29" t="n"/>
      <c r="S168" s="29" t="inlineStr">
        <is>
          <t>Carolina Prieto</t>
        </is>
      </c>
      <c r="T168" s="29" t="inlineStr">
        <is>
          <t>State</t>
        </is>
      </c>
      <c r="U168" s="29" t="n"/>
      <c r="X168" s="19" t="inlineStr">
        <is>
          <t>C</t>
        </is>
      </c>
      <c r="Y168" s="19" t="n">
        <v>40.5</v>
      </c>
      <c r="Z168" s="44" t="n">
        <v>0.75</v>
      </c>
      <c r="AA168" s="51" t="n">
        <v>0.543</v>
      </c>
      <c r="AB168" s="47" t="n">
        <v>4</v>
      </c>
      <c r="AC168" s="19" t="inlineStr">
        <is>
          <t>Maintain</t>
        </is>
      </c>
      <c r="AD168" s="19" t="n">
        <v>0</v>
      </c>
      <c r="AE168" s="19" t="inlineStr">
        <is>
          <t>imputed</t>
        </is>
      </c>
    </row>
    <row r="169" ht="15" customHeight="1" s="20">
      <c r="A169" s="29" t="inlineStr">
        <is>
          <t>Connecticut Office of Higher Education</t>
        </is>
      </c>
      <c r="B169" s="29" t="inlineStr">
        <is>
          <t>Connecticut</t>
        </is>
      </c>
      <c r="C169" s="29" t="inlineStr">
        <is>
          <t>CT</t>
        </is>
      </c>
      <c r="D169" s="29" t="inlineStr">
        <is>
          <t>State</t>
        </is>
      </c>
      <c r="E169" s="29" t="inlineStr">
        <is>
          <t>Stephanie DelSignore</t>
        </is>
      </c>
      <c r="F169" s="29" t="inlineStr">
        <is>
          <t>Halena Martin</t>
        </is>
      </c>
      <c r="G169" s="39" t="inlineStr">
        <is>
          <t>Halena Martin</t>
        </is>
      </c>
      <c r="H169" s="29">
        <f>IF(F169="(not in WIP)","New to Enterprise",IF(F169=G169,"No","Yes"))</f>
        <v/>
      </c>
      <c r="I169" s="29">
        <f>IFERROR(INDEX(Lookups!$B$2:$B$14,MATCH(G169,Lookups!$A$2:$A$14,0)),"Not found")</f>
        <v/>
      </c>
      <c r="J169" s="29">
        <f>IFERROR(INDEX(Lookups!$E$2:$E$14,MATCH(G169,Lookups!$A$2:$A$14,0)),"")</f>
        <v/>
      </c>
      <c r="K169" s="39" t="inlineStr">
        <is>
          <t>ET</t>
        </is>
      </c>
      <c r="L169" s="29">
        <f>IF(J169="n/a","n/a",IFERROR(IF(ABS(INDEX(Lookups!$H$2:$H$5,MATCH(J169,Lookups!$G$2:$G$5,0))-INDEX(Lookups!$H$2:$H$5,MATCH(K169,Lookups!$G$2:$G$5,0)))&lt;=1,"Yes","No"),"Check"))</f>
        <v/>
      </c>
      <c r="M169" s="43" t="n">
        <v>0</v>
      </c>
      <c r="N169" s="29" t="inlineStr">
        <is>
          <t>No (Allocated)</t>
        </is>
      </c>
      <c r="O169" s="39" t="n">
        <v>0</v>
      </c>
      <c r="P169" s="27" t="n"/>
      <c r="Q169" s="29">
        <f>IF(N169&lt;&gt;"Yes","n/a",IF(OR(AND(O169&lt;&gt;"",O169&gt;$W$1),P169="Y"),"Yes",IF(O169&lt;&gt;"","No","Pending")))</f>
        <v/>
      </c>
      <c r="R169" s="29" t="n"/>
      <c r="S169" s="29" t="inlineStr">
        <is>
          <t>Carolina Prieto</t>
        </is>
      </c>
      <c r="T169" s="29" t="inlineStr">
        <is>
          <t>State</t>
        </is>
      </c>
      <c r="U169" s="29" t="n"/>
      <c r="X169" s="19" t="inlineStr">
        <is>
          <t>C</t>
        </is>
      </c>
      <c r="Y169" s="19" t="n">
        <v>40.5</v>
      </c>
      <c r="Z169" s="44" t="n">
        <v>0.75</v>
      </c>
      <c r="AA169" s="51" t="n">
        <v>0.543</v>
      </c>
      <c r="AB169" s="47" t="n">
        <v>4</v>
      </c>
      <c r="AC169" s="19" t="inlineStr">
        <is>
          <t>Maintain</t>
        </is>
      </c>
      <c r="AD169" s="19" t="n">
        <v>0</v>
      </c>
      <c r="AE169" s="19" t="inlineStr">
        <is>
          <t>imputed</t>
        </is>
      </c>
    </row>
    <row r="170" ht="15" customHeight="1" s="20">
      <c r="A170" s="29" t="inlineStr">
        <is>
          <t>Connecticut State Library</t>
        </is>
      </c>
      <c r="B170" s="29" t="inlineStr">
        <is>
          <t>Connecticut</t>
        </is>
      </c>
      <c r="C170" s="29" t="inlineStr">
        <is>
          <t>CT</t>
        </is>
      </c>
      <c r="D170" s="29" t="inlineStr">
        <is>
          <t>State</t>
        </is>
      </c>
      <c r="E170" s="29" t="inlineStr">
        <is>
          <t>Stephanie DelSignore</t>
        </is>
      </c>
      <c r="F170" s="29" t="inlineStr">
        <is>
          <t>Halena Martin</t>
        </is>
      </c>
      <c r="G170" s="39" t="inlineStr">
        <is>
          <t>Halena Martin</t>
        </is>
      </c>
      <c r="H170" s="29">
        <f>IF(F170="(not in WIP)","New to Enterprise",IF(F170=G170,"No","Yes"))</f>
        <v/>
      </c>
      <c r="I170" s="29">
        <f>IFERROR(INDEX(Lookups!$B$2:$B$14,MATCH(G170,Lookups!$A$2:$A$14,0)),"Not found")</f>
        <v/>
      </c>
      <c r="J170" s="29">
        <f>IFERROR(INDEX(Lookups!$E$2:$E$14,MATCH(G170,Lookups!$A$2:$A$14,0)),"")</f>
        <v/>
      </c>
      <c r="K170" s="39" t="inlineStr">
        <is>
          <t>ET</t>
        </is>
      </c>
      <c r="L170" s="29">
        <f>IF(J170="n/a","n/a",IFERROR(IF(ABS(INDEX(Lookups!$H$2:$H$5,MATCH(J170,Lookups!$G$2:$G$5,0))-INDEX(Lookups!$H$2:$H$5,MATCH(K170,Lookups!$G$2:$G$5,0)))&lt;=1,"Yes","No"),"Check"))</f>
        <v/>
      </c>
      <c r="M170" s="43" t="n">
        <v>0</v>
      </c>
      <c r="N170" s="29" t="inlineStr">
        <is>
          <t>No (Allocated)</t>
        </is>
      </c>
      <c r="O170" s="39" t="n">
        <v>0</v>
      </c>
      <c r="P170" s="27" t="n"/>
      <c r="Q170" s="29">
        <f>IF(N170&lt;&gt;"Yes","n/a",IF(OR(AND(O170&lt;&gt;"",O170&gt;$W$1),P170="Y"),"Yes",IF(O170&lt;&gt;"","No","Pending")))</f>
        <v/>
      </c>
      <c r="R170" s="29" t="n"/>
      <c r="S170" s="29" t="inlineStr">
        <is>
          <t>Carolina Prieto</t>
        </is>
      </c>
      <c r="T170" s="29" t="inlineStr">
        <is>
          <t>State</t>
        </is>
      </c>
      <c r="U170" s="29" t="n"/>
      <c r="X170" s="19" t="inlineStr">
        <is>
          <t>C</t>
        </is>
      </c>
      <c r="Y170" s="19" t="n">
        <v>40.5</v>
      </c>
      <c r="Z170" s="44" t="n">
        <v>0.75</v>
      </c>
      <c r="AA170" s="51" t="n">
        <v>0.543</v>
      </c>
      <c r="AB170" s="47" t="n">
        <v>4</v>
      </c>
      <c r="AC170" s="19" t="inlineStr">
        <is>
          <t>Maintain</t>
        </is>
      </c>
      <c r="AD170" s="19" t="n">
        <v>0</v>
      </c>
      <c r="AE170" s="19" t="inlineStr">
        <is>
          <t>imputed</t>
        </is>
      </c>
    </row>
    <row r="171" ht="15" customHeight="1" s="20">
      <c r="A171" s="29" t="inlineStr">
        <is>
          <t>Connecticut State Department of Education</t>
        </is>
      </c>
      <c r="B171" s="29" t="inlineStr">
        <is>
          <t>Connecticut</t>
        </is>
      </c>
      <c r="C171" s="29" t="inlineStr">
        <is>
          <t>CT</t>
        </is>
      </c>
      <c r="D171" s="29" t="inlineStr">
        <is>
          <t>State</t>
        </is>
      </c>
      <c r="E171" s="29" t="inlineStr">
        <is>
          <t>Stephanie DelSignore</t>
        </is>
      </c>
      <c r="F171" s="29" t="inlineStr">
        <is>
          <t>Halena Martin</t>
        </is>
      </c>
      <c r="G171" s="39" t="inlineStr">
        <is>
          <t>Halena Martin</t>
        </is>
      </c>
      <c r="H171" s="29">
        <f>IF(F171="(not in WIP)","New to Enterprise",IF(F171=G171,"No","Yes"))</f>
        <v/>
      </c>
      <c r="I171" s="29">
        <f>IFERROR(INDEX(Lookups!$B$2:$B$14,MATCH(G171,Lookups!$A$2:$A$14,0)),"Not found")</f>
        <v/>
      </c>
      <c r="J171" s="29">
        <f>IFERROR(INDEX(Lookups!$E$2:$E$14,MATCH(G171,Lookups!$A$2:$A$14,0)),"")</f>
        <v/>
      </c>
      <c r="K171" s="39" t="inlineStr">
        <is>
          <t>ET</t>
        </is>
      </c>
      <c r="L171" s="29">
        <f>IF(J171="n/a","n/a",IFERROR(IF(ABS(INDEX(Lookups!$H$2:$H$5,MATCH(J171,Lookups!$G$2:$G$5,0))-INDEX(Lookups!$H$2:$H$5,MATCH(K171,Lookups!$G$2:$G$5,0)))&lt;=1,"Yes","No"),"Check"))</f>
        <v/>
      </c>
      <c r="M171" s="43" t="n">
        <v>0</v>
      </c>
      <c r="N171" s="29" t="inlineStr">
        <is>
          <t>No (Allocated)</t>
        </is>
      </c>
      <c r="O171" s="39" t="n">
        <v>0</v>
      </c>
      <c r="P171" s="27" t="n"/>
      <c r="Q171" s="29">
        <f>IF(N171&lt;&gt;"Yes","n/a",IF(OR(AND(O171&lt;&gt;"",O171&gt;$W$1),P171="Y"),"Yes",IF(O171&lt;&gt;"","No","Pending")))</f>
        <v/>
      </c>
      <c r="R171" s="29" t="n"/>
      <c r="S171" s="29" t="inlineStr">
        <is>
          <t>Carolina Prieto</t>
        </is>
      </c>
      <c r="T171" s="29" t="inlineStr">
        <is>
          <t>State</t>
        </is>
      </c>
      <c r="U171" s="29" t="n"/>
      <c r="X171" s="19" t="inlineStr">
        <is>
          <t>C</t>
        </is>
      </c>
      <c r="Y171" s="19" t="n">
        <v>40.5</v>
      </c>
      <c r="Z171" s="44" t="n">
        <v>0.75</v>
      </c>
      <c r="AA171" s="51" t="n">
        <v>0.543</v>
      </c>
      <c r="AB171" s="47" t="n">
        <v>4</v>
      </c>
      <c r="AC171" s="19" t="inlineStr">
        <is>
          <t>Maintain</t>
        </is>
      </c>
      <c r="AD171" s="19" t="n">
        <v>0</v>
      </c>
      <c r="AE171" s="19" t="inlineStr">
        <is>
          <t>imputed</t>
        </is>
      </c>
    </row>
    <row r="172" ht="15" customHeight="1" s="20">
      <c r="A172" s="29" t="inlineStr">
        <is>
          <t>Connecticut Office of the State Comptroller</t>
        </is>
      </c>
      <c r="B172" s="29" t="inlineStr">
        <is>
          <t>Connecticut</t>
        </is>
      </c>
      <c r="C172" s="29" t="inlineStr">
        <is>
          <t>CT</t>
        </is>
      </c>
      <c r="D172" s="29" t="inlineStr">
        <is>
          <t>State</t>
        </is>
      </c>
      <c r="E172" s="29" t="inlineStr">
        <is>
          <t>Stephanie DelSignore</t>
        </is>
      </c>
      <c r="F172" s="29" t="inlineStr">
        <is>
          <t>Halena Martin</t>
        </is>
      </c>
      <c r="G172" s="39" t="inlineStr">
        <is>
          <t>Halena Martin</t>
        </is>
      </c>
      <c r="H172" s="29">
        <f>IF(F172="(not in WIP)","New to Enterprise",IF(F172=G172,"No","Yes"))</f>
        <v/>
      </c>
      <c r="I172" s="29">
        <f>IFERROR(INDEX(Lookups!$B$2:$B$14,MATCH(G172,Lookups!$A$2:$A$14,0)),"Not found")</f>
        <v/>
      </c>
      <c r="J172" s="29">
        <f>IFERROR(INDEX(Lookups!$E$2:$E$14,MATCH(G172,Lookups!$A$2:$A$14,0)),"")</f>
        <v/>
      </c>
      <c r="K172" s="39" t="inlineStr">
        <is>
          <t>ET</t>
        </is>
      </c>
      <c r="L172" s="29">
        <f>IF(J172="n/a","n/a",IFERROR(IF(ABS(INDEX(Lookups!$H$2:$H$5,MATCH(J172,Lookups!$G$2:$G$5,0))-INDEX(Lookups!$H$2:$H$5,MATCH(K172,Lookups!$G$2:$G$5,0)))&lt;=1,"Yes","No"),"Check"))</f>
        <v/>
      </c>
      <c r="M172" s="43" t="n">
        <v>0</v>
      </c>
      <c r="N172" s="29" t="inlineStr">
        <is>
          <t>No (Allocated)</t>
        </is>
      </c>
      <c r="O172" s="39" t="n">
        <v>0</v>
      </c>
      <c r="P172" s="27" t="n"/>
      <c r="Q172" s="29">
        <f>IF(N172&lt;&gt;"Yes","n/a",IF(OR(AND(O172&lt;&gt;"",O172&gt;$W$1),P172="Y"),"Yes",IF(O172&lt;&gt;"","No","Pending")))</f>
        <v/>
      </c>
      <c r="R172" s="29" t="n"/>
      <c r="S172" s="29" t="inlineStr">
        <is>
          <t>Carolina Prieto</t>
        </is>
      </c>
      <c r="T172" s="29" t="inlineStr">
        <is>
          <t>State</t>
        </is>
      </c>
      <c r="U172" s="29" t="n"/>
      <c r="X172" s="19" t="inlineStr">
        <is>
          <t>C</t>
        </is>
      </c>
      <c r="Y172" s="19" t="n">
        <v>40.5</v>
      </c>
      <c r="Z172" s="44" t="n">
        <v>0.75</v>
      </c>
      <c r="AA172" s="51" t="n">
        <v>0.543</v>
      </c>
      <c r="AB172" s="47" t="n">
        <v>4</v>
      </c>
      <c r="AC172" s="19" t="inlineStr">
        <is>
          <t>Maintain</t>
        </is>
      </c>
      <c r="AD172" s="19" t="n">
        <v>0</v>
      </c>
      <c r="AE172" s="19" t="inlineStr">
        <is>
          <t>imputed</t>
        </is>
      </c>
    </row>
    <row r="173" ht="15" customHeight="1" s="20">
      <c r="A173" s="29" t="inlineStr">
        <is>
          <t>Connecticut Public Health Department</t>
        </is>
      </c>
      <c r="B173" s="29" t="inlineStr">
        <is>
          <t>Connecticut</t>
        </is>
      </c>
      <c r="C173" s="29" t="inlineStr">
        <is>
          <t>CT</t>
        </is>
      </c>
      <c r="D173" s="29" t="inlineStr">
        <is>
          <t>State</t>
        </is>
      </c>
      <c r="E173" s="29" t="inlineStr">
        <is>
          <t>Stephanie DelSignore</t>
        </is>
      </c>
      <c r="F173" s="29" t="inlineStr">
        <is>
          <t>Halena Martin</t>
        </is>
      </c>
      <c r="G173" s="39" t="inlineStr">
        <is>
          <t>Halena Martin</t>
        </is>
      </c>
      <c r="H173" s="29">
        <f>IF(F173="(not in WIP)","New to Enterprise",IF(F173=G173,"No","Yes"))</f>
        <v/>
      </c>
      <c r="I173" s="29">
        <f>IFERROR(INDEX(Lookups!$B$2:$B$14,MATCH(G173,Lookups!$A$2:$A$14,0)),"Not found")</f>
        <v/>
      </c>
      <c r="J173" s="29">
        <f>IFERROR(INDEX(Lookups!$E$2:$E$14,MATCH(G173,Lookups!$A$2:$A$14,0)),"")</f>
        <v/>
      </c>
      <c r="K173" s="39" t="inlineStr">
        <is>
          <t>ET</t>
        </is>
      </c>
      <c r="L173" s="29">
        <f>IF(J173="n/a","n/a",IFERROR(IF(ABS(INDEX(Lookups!$H$2:$H$5,MATCH(J173,Lookups!$G$2:$G$5,0))-INDEX(Lookups!$H$2:$H$5,MATCH(K173,Lookups!$G$2:$G$5,0)))&lt;=1,"Yes","No"),"Check"))</f>
        <v/>
      </c>
      <c r="M173" s="43" t="n">
        <v>0</v>
      </c>
      <c r="N173" s="29" t="inlineStr">
        <is>
          <t>No (Allocated)</t>
        </is>
      </c>
      <c r="O173" s="39" t="n">
        <v>0</v>
      </c>
      <c r="P173" s="27" t="n"/>
      <c r="Q173" s="29">
        <f>IF(N173&lt;&gt;"Yes","n/a",IF(OR(AND(O173&lt;&gt;"",O173&gt;$W$1),P173="Y"),"Yes",IF(O173&lt;&gt;"","No","Pending")))</f>
        <v/>
      </c>
      <c r="R173" s="29" t="n"/>
      <c r="S173" s="29" t="inlineStr">
        <is>
          <t>Carolina Prieto</t>
        </is>
      </c>
      <c r="T173" s="29" t="inlineStr">
        <is>
          <t>State</t>
        </is>
      </c>
      <c r="U173" s="29" t="n"/>
      <c r="X173" s="19" t="inlineStr">
        <is>
          <t>C</t>
        </is>
      </c>
      <c r="Y173" s="19" t="n">
        <v>40.5</v>
      </c>
      <c r="Z173" s="44" t="n">
        <v>0.75</v>
      </c>
      <c r="AA173" s="51" t="n">
        <v>0.543</v>
      </c>
      <c r="AB173" s="47" t="n">
        <v>4</v>
      </c>
      <c r="AC173" s="19" t="inlineStr">
        <is>
          <t>Maintain</t>
        </is>
      </c>
      <c r="AD173" s="19" t="n">
        <v>0</v>
      </c>
      <c r="AE173" s="19" t="inlineStr">
        <is>
          <t>imputed</t>
        </is>
      </c>
    </row>
    <row r="174" ht="15" customHeight="1" s="20">
      <c r="A174" s="29" t="inlineStr">
        <is>
          <t>Connecticut Office of the Secretary of State</t>
        </is>
      </c>
      <c r="B174" s="29" t="inlineStr">
        <is>
          <t>Connecticut</t>
        </is>
      </c>
      <c r="C174" s="29" t="inlineStr">
        <is>
          <t>CT</t>
        </is>
      </c>
      <c r="D174" s="29" t="inlineStr">
        <is>
          <t>State</t>
        </is>
      </c>
      <c r="E174" s="29" t="inlineStr">
        <is>
          <t>Stephanie DelSignore</t>
        </is>
      </c>
      <c r="F174" s="29" t="inlineStr">
        <is>
          <t>Halena Martin</t>
        </is>
      </c>
      <c r="G174" s="39" t="inlineStr">
        <is>
          <t>Halena Martin</t>
        </is>
      </c>
      <c r="H174" s="29">
        <f>IF(F174="(not in WIP)","New to Enterprise",IF(F174=G174,"No","Yes"))</f>
        <v/>
      </c>
      <c r="I174" s="29">
        <f>IFERROR(INDEX(Lookups!$B$2:$B$14,MATCH(G174,Lookups!$A$2:$A$14,0)),"Not found")</f>
        <v/>
      </c>
      <c r="J174" s="29">
        <f>IFERROR(INDEX(Lookups!$E$2:$E$14,MATCH(G174,Lookups!$A$2:$A$14,0)),"")</f>
        <v/>
      </c>
      <c r="K174" s="39" t="inlineStr">
        <is>
          <t>ET</t>
        </is>
      </c>
      <c r="L174" s="29">
        <f>IF(J174="n/a","n/a",IFERROR(IF(ABS(INDEX(Lookups!$H$2:$H$5,MATCH(J174,Lookups!$G$2:$G$5,0))-INDEX(Lookups!$H$2:$H$5,MATCH(K174,Lookups!$G$2:$G$5,0)))&lt;=1,"Yes","No"),"Check"))</f>
        <v/>
      </c>
      <c r="M174" s="43" t="n">
        <v>0</v>
      </c>
      <c r="N174" s="29" t="inlineStr">
        <is>
          <t>No (Allocated)</t>
        </is>
      </c>
      <c r="O174" s="39" t="n">
        <v>0</v>
      </c>
      <c r="P174" s="27" t="n"/>
      <c r="Q174" s="29">
        <f>IF(N174&lt;&gt;"Yes","n/a",IF(OR(AND(O174&lt;&gt;"",O174&gt;$W$1),P174="Y"),"Yes",IF(O174&lt;&gt;"","No","Pending")))</f>
        <v/>
      </c>
      <c r="R174" s="29" t="n"/>
      <c r="S174" s="29" t="inlineStr">
        <is>
          <t>Carolina Prieto</t>
        </is>
      </c>
      <c r="T174" s="29" t="inlineStr">
        <is>
          <t>State</t>
        </is>
      </c>
      <c r="U174" s="29" t="n"/>
      <c r="X174" s="19" t="inlineStr">
        <is>
          <t>C</t>
        </is>
      </c>
      <c r="Y174" s="19" t="n">
        <v>40.5</v>
      </c>
      <c r="Z174" s="44" t="n">
        <v>0.75</v>
      </c>
      <c r="AA174" s="51" t="n">
        <v>0.543</v>
      </c>
      <c r="AB174" s="47" t="n">
        <v>4</v>
      </c>
      <c r="AC174" s="19" t="inlineStr">
        <is>
          <t>Maintain</t>
        </is>
      </c>
      <c r="AD174" s="19" t="n">
        <v>0</v>
      </c>
      <c r="AE174" s="19" t="inlineStr">
        <is>
          <t>imputed</t>
        </is>
      </c>
    </row>
    <row r="175" ht="15" customHeight="1" s="20">
      <c r="A175" s="29" t="inlineStr">
        <is>
          <t>Connecticut Department of Mental Health &amp; Addiction Services</t>
        </is>
      </c>
      <c r="B175" s="29" t="inlineStr">
        <is>
          <t>Connecticut</t>
        </is>
      </c>
      <c r="C175" s="29" t="inlineStr">
        <is>
          <t>CT</t>
        </is>
      </c>
      <c r="D175" s="29" t="inlineStr">
        <is>
          <t>State</t>
        </is>
      </c>
      <c r="E175" s="29" t="inlineStr">
        <is>
          <t>Stephanie DelSignore</t>
        </is>
      </c>
      <c r="F175" s="29" t="inlineStr">
        <is>
          <t>Halena Martin</t>
        </is>
      </c>
      <c r="G175" s="39" t="inlineStr">
        <is>
          <t>Halena Martin</t>
        </is>
      </c>
      <c r="H175" s="29">
        <f>IF(F175="(not in WIP)","New to Enterprise",IF(F175=G175,"No","Yes"))</f>
        <v/>
      </c>
      <c r="I175" s="29">
        <f>IFERROR(INDEX(Lookups!$B$2:$B$14,MATCH(G175,Lookups!$A$2:$A$14,0)),"Not found")</f>
        <v/>
      </c>
      <c r="J175" s="29">
        <f>IFERROR(INDEX(Lookups!$E$2:$E$14,MATCH(G175,Lookups!$A$2:$A$14,0)),"")</f>
        <v/>
      </c>
      <c r="K175" s="39" t="inlineStr">
        <is>
          <t>ET</t>
        </is>
      </c>
      <c r="L175" s="29">
        <f>IF(J175="n/a","n/a",IFERROR(IF(ABS(INDEX(Lookups!$H$2:$H$5,MATCH(J175,Lookups!$G$2:$G$5,0))-INDEX(Lookups!$H$2:$H$5,MATCH(K175,Lookups!$G$2:$G$5,0)))&lt;=1,"Yes","No"),"Check"))</f>
        <v/>
      </c>
      <c r="M175" s="43" t="n">
        <v>0</v>
      </c>
      <c r="N175" s="29" t="inlineStr">
        <is>
          <t>No (Allocated)</t>
        </is>
      </c>
      <c r="O175" s="39" t="n">
        <v>0</v>
      </c>
      <c r="P175" s="27" t="n"/>
      <c r="Q175" s="29">
        <f>IF(N175&lt;&gt;"Yes","n/a",IF(OR(AND(O175&lt;&gt;"",O175&gt;$W$1),P175="Y"),"Yes",IF(O175&lt;&gt;"","No","Pending")))</f>
        <v/>
      </c>
      <c r="R175" s="29" t="n"/>
      <c r="S175" s="29" t="inlineStr">
        <is>
          <t>Carolina Prieto</t>
        </is>
      </c>
      <c r="T175" s="29" t="inlineStr">
        <is>
          <t>State</t>
        </is>
      </c>
      <c r="U175" s="29" t="n"/>
      <c r="X175" s="19" t="inlineStr">
        <is>
          <t>C</t>
        </is>
      </c>
      <c r="Y175" s="19" t="n">
        <v>40.5</v>
      </c>
      <c r="Z175" s="44" t="n">
        <v>0.75</v>
      </c>
      <c r="AA175" s="51" t="n">
        <v>0.543</v>
      </c>
      <c r="AB175" s="47" t="n">
        <v>4</v>
      </c>
      <c r="AC175" s="19" t="inlineStr">
        <is>
          <t>Maintain</t>
        </is>
      </c>
      <c r="AD175" s="19" t="n">
        <v>0</v>
      </c>
      <c r="AE175" s="19" t="inlineStr">
        <is>
          <t>imputed</t>
        </is>
      </c>
    </row>
    <row r="176" ht="15" customHeight="1" s="20">
      <c r="A176" s="29" t="inlineStr">
        <is>
          <t>Connecticut Department of Social Services</t>
        </is>
      </c>
      <c r="B176" s="29" t="inlineStr">
        <is>
          <t>Connecticut</t>
        </is>
      </c>
      <c r="C176" s="29" t="inlineStr">
        <is>
          <t>CT</t>
        </is>
      </c>
      <c r="D176" s="29" t="inlineStr">
        <is>
          <t>State</t>
        </is>
      </c>
      <c r="E176" s="29" t="inlineStr">
        <is>
          <t>Stephanie DelSignore</t>
        </is>
      </c>
      <c r="F176" s="29" t="inlineStr">
        <is>
          <t>Halena Martin</t>
        </is>
      </c>
      <c r="G176" s="39" t="inlineStr">
        <is>
          <t>Halena Martin</t>
        </is>
      </c>
      <c r="H176" s="29">
        <f>IF(F176="(not in WIP)","New to Enterprise",IF(F176=G176,"No","Yes"))</f>
        <v/>
      </c>
      <c r="I176" s="29">
        <f>IFERROR(INDEX(Lookups!$B$2:$B$14,MATCH(G176,Lookups!$A$2:$A$14,0)),"Not found")</f>
        <v/>
      </c>
      <c r="J176" s="29">
        <f>IFERROR(INDEX(Lookups!$E$2:$E$14,MATCH(G176,Lookups!$A$2:$A$14,0)),"")</f>
        <v/>
      </c>
      <c r="K176" s="39" t="inlineStr">
        <is>
          <t>ET</t>
        </is>
      </c>
      <c r="L176" s="29">
        <f>IF(J176="n/a","n/a",IFERROR(IF(ABS(INDEX(Lookups!$H$2:$H$5,MATCH(J176,Lookups!$G$2:$G$5,0))-INDEX(Lookups!$H$2:$H$5,MATCH(K176,Lookups!$G$2:$G$5,0)))&lt;=1,"Yes","No"),"Check"))</f>
        <v/>
      </c>
      <c r="M176" s="43" t="n">
        <v>0</v>
      </c>
      <c r="N176" s="29" t="inlineStr">
        <is>
          <t>No (Allocated)</t>
        </is>
      </c>
      <c r="O176" s="39" t="n">
        <v>0</v>
      </c>
      <c r="P176" s="27" t="n"/>
      <c r="Q176" s="29">
        <f>IF(N176&lt;&gt;"Yes","n/a",IF(OR(AND(O176&lt;&gt;"",O176&gt;$W$1),P176="Y"),"Yes",IF(O176&lt;&gt;"","No","Pending")))</f>
        <v/>
      </c>
      <c r="R176" s="29" t="n"/>
      <c r="S176" s="29" t="inlineStr">
        <is>
          <t>Carolina Prieto</t>
        </is>
      </c>
      <c r="T176" s="29" t="inlineStr">
        <is>
          <t>State</t>
        </is>
      </c>
      <c r="U176" s="29" t="n"/>
      <c r="X176" s="19" t="inlineStr">
        <is>
          <t>C</t>
        </is>
      </c>
      <c r="Y176" s="19" t="n">
        <v>40.5</v>
      </c>
      <c r="Z176" s="44" t="n">
        <v>0.75</v>
      </c>
      <c r="AA176" s="51" t="n">
        <v>0.543</v>
      </c>
      <c r="AB176" s="47" t="n">
        <v>4</v>
      </c>
      <c r="AC176" s="19" t="inlineStr">
        <is>
          <t>Maintain</t>
        </is>
      </c>
      <c r="AD176" s="19" t="n">
        <v>0</v>
      </c>
      <c r="AE176" s="19" t="inlineStr">
        <is>
          <t>imputed</t>
        </is>
      </c>
    </row>
    <row r="177" ht="15" customHeight="1" s="20">
      <c r="A177" s="29" t="inlineStr">
        <is>
          <t>Connecticut Department of Revenue Services</t>
        </is>
      </c>
      <c r="B177" s="29" t="inlineStr">
        <is>
          <t>Connecticut</t>
        </is>
      </c>
      <c r="C177" s="29" t="inlineStr">
        <is>
          <t>CT</t>
        </is>
      </c>
      <c r="D177" s="29" t="inlineStr">
        <is>
          <t>State</t>
        </is>
      </c>
      <c r="E177" s="29" t="inlineStr">
        <is>
          <t>Stephanie DelSignore</t>
        </is>
      </c>
      <c r="F177" s="29" t="inlineStr">
        <is>
          <t>Halena Martin</t>
        </is>
      </c>
      <c r="G177" s="39" t="inlineStr">
        <is>
          <t>Halena Martin</t>
        </is>
      </c>
      <c r="H177" s="29">
        <f>IF(F177="(not in WIP)","New to Enterprise",IF(F177=G177,"No","Yes"))</f>
        <v/>
      </c>
      <c r="I177" s="29">
        <f>IFERROR(INDEX(Lookups!$B$2:$B$14,MATCH(G177,Lookups!$A$2:$A$14,0)),"Not found")</f>
        <v/>
      </c>
      <c r="J177" s="29">
        <f>IFERROR(INDEX(Lookups!$E$2:$E$14,MATCH(G177,Lookups!$A$2:$A$14,0)),"")</f>
        <v/>
      </c>
      <c r="K177" s="39" t="inlineStr">
        <is>
          <t>ET</t>
        </is>
      </c>
      <c r="L177" s="29">
        <f>IF(J177="n/a","n/a",IFERROR(IF(ABS(INDEX(Lookups!$H$2:$H$5,MATCH(J177,Lookups!$G$2:$G$5,0))-INDEX(Lookups!$H$2:$H$5,MATCH(K177,Lookups!$G$2:$G$5,0)))&lt;=1,"Yes","No"),"Check"))</f>
        <v/>
      </c>
      <c r="M177" s="43" t="n">
        <v>0</v>
      </c>
      <c r="N177" s="29" t="inlineStr">
        <is>
          <t>No (Allocated)</t>
        </is>
      </c>
      <c r="O177" s="39" t="n">
        <v>0</v>
      </c>
      <c r="P177" s="27" t="n"/>
      <c r="Q177" s="29">
        <f>IF(N177&lt;&gt;"Yes","n/a",IF(OR(AND(O177&lt;&gt;"",O177&gt;$W$1),P177="Y"),"Yes",IF(O177&lt;&gt;"","No","Pending")))</f>
        <v/>
      </c>
      <c r="R177" s="29" t="n"/>
      <c r="S177" s="29" t="inlineStr">
        <is>
          <t>Carolina Prieto</t>
        </is>
      </c>
      <c r="T177" s="29" t="inlineStr">
        <is>
          <t>State</t>
        </is>
      </c>
      <c r="U177" s="29" t="n"/>
      <c r="X177" s="19" t="inlineStr">
        <is>
          <t>C</t>
        </is>
      </c>
      <c r="Y177" s="19" t="n">
        <v>40.5</v>
      </c>
      <c r="Z177" s="44" t="n">
        <v>0.75</v>
      </c>
      <c r="AA177" s="51" t="n">
        <v>0.543</v>
      </c>
      <c r="AB177" s="47" t="n">
        <v>4</v>
      </c>
      <c r="AC177" s="19" t="inlineStr">
        <is>
          <t>Maintain</t>
        </is>
      </c>
      <c r="AD177" s="19" t="n">
        <v>0</v>
      </c>
      <c r="AE177" s="19" t="inlineStr">
        <is>
          <t>imputed</t>
        </is>
      </c>
    </row>
    <row r="178" ht="15" customHeight="1" s="20">
      <c r="A178" s="29" t="inlineStr">
        <is>
          <t>Connecticut Department of Motor Vehicles</t>
        </is>
      </c>
      <c r="B178" s="29" t="inlineStr">
        <is>
          <t>Connecticut</t>
        </is>
      </c>
      <c r="C178" s="29" t="inlineStr">
        <is>
          <t>CT</t>
        </is>
      </c>
      <c r="D178" s="29" t="inlineStr">
        <is>
          <t>State</t>
        </is>
      </c>
      <c r="E178" s="29" t="inlineStr">
        <is>
          <t>Stephanie DelSignore</t>
        </is>
      </c>
      <c r="F178" s="29" t="inlineStr">
        <is>
          <t>Halena Martin</t>
        </is>
      </c>
      <c r="G178" s="39" t="inlineStr">
        <is>
          <t>Halena Martin</t>
        </is>
      </c>
      <c r="H178" s="29">
        <f>IF(F178="(not in WIP)","New to Enterprise",IF(F178=G178,"No","Yes"))</f>
        <v/>
      </c>
      <c r="I178" s="29">
        <f>IFERROR(INDEX(Lookups!$B$2:$B$14,MATCH(G178,Lookups!$A$2:$A$14,0)),"Not found")</f>
        <v/>
      </c>
      <c r="J178" s="29">
        <f>IFERROR(INDEX(Lookups!$E$2:$E$14,MATCH(G178,Lookups!$A$2:$A$14,0)),"")</f>
        <v/>
      </c>
      <c r="K178" s="39" t="inlineStr">
        <is>
          <t>ET</t>
        </is>
      </c>
      <c r="L178" s="29">
        <f>IF(J178="n/a","n/a",IFERROR(IF(ABS(INDEX(Lookups!$H$2:$H$5,MATCH(J178,Lookups!$G$2:$G$5,0))-INDEX(Lookups!$H$2:$H$5,MATCH(K178,Lookups!$G$2:$G$5,0)))&lt;=1,"Yes","No"),"Check"))</f>
        <v/>
      </c>
      <c r="M178" s="43" t="n">
        <v>0</v>
      </c>
      <c r="N178" s="29" t="inlineStr">
        <is>
          <t>No (Allocated)</t>
        </is>
      </c>
      <c r="O178" s="39" t="n">
        <v>0</v>
      </c>
      <c r="P178" s="27" t="n"/>
      <c r="Q178" s="29">
        <f>IF(N178&lt;&gt;"Yes","n/a",IF(OR(AND(O178&lt;&gt;"",O178&gt;$W$1),P178="Y"),"Yes",IF(O178&lt;&gt;"","No","Pending")))</f>
        <v/>
      </c>
      <c r="R178" s="29" t="n"/>
      <c r="S178" s="29" t="inlineStr">
        <is>
          <t>Carolina Prieto</t>
        </is>
      </c>
      <c r="T178" s="29" t="inlineStr">
        <is>
          <t>State</t>
        </is>
      </c>
      <c r="U178" s="29" t="n"/>
      <c r="X178" s="19" t="inlineStr">
        <is>
          <t>C</t>
        </is>
      </c>
      <c r="Y178" s="19" t="n">
        <v>40.5</v>
      </c>
      <c r="Z178" s="44" t="n">
        <v>0.75</v>
      </c>
      <c r="AA178" s="51" t="n">
        <v>0.543</v>
      </c>
      <c r="AB178" s="47" t="n">
        <v>4</v>
      </c>
      <c r="AC178" s="19" t="inlineStr">
        <is>
          <t>Maintain</t>
        </is>
      </c>
      <c r="AD178" s="19" t="n">
        <v>0</v>
      </c>
      <c r="AE178" s="19" t="inlineStr">
        <is>
          <t>imputed</t>
        </is>
      </c>
    </row>
    <row r="179" ht="15" customHeight="1" s="20">
      <c r="A179" s="29" t="inlineStr">
        <is>
          <t>Connecticut Department of Transportation</t>
        </is>
      </c>
      <c r="B179" s="29" t="inlineStr">
        <is>
          <t>Connecticut</t>
        </is>
      </c>
      <c r="C179" s="29" t="inlineStr">
        <is>
          <t>CT</t>
        </is>
      </c>
      <c r="D179" s="29" t="inlineStr">
        <is>
          <t>State</t>
        </is>
      </c>
      <c r="E179" s="29" t="inlineStr">
        <is>
          <t>Stephanie DelSignore</t>
        </is>
      </c>
      <c r="F179" s="29" t="inlineStr">
        <is>
          <t>Halena Martin</t>
        </is>
      </c>
      <c r="G179" s="39" t="inlineStr">
        <is>
          <t>Halena Martin</t>
        </is>
      </c>
      <c r="H179" s="29">
        <f>IF(F179="(not in WIP)","New to Enterprise",IF(F179=G179,"No","Yes"))</f>
        <v/>
      </c>
      <c r="I179" s="29">
        <f>IFERROR(INDEX(Lookups!$B$2:$B$14,MATCH(G179,Lookups!$A$2:$A$14,0)),"Not found")</f>
        <v/>
      </c>
      <c r="J179" s="29">
        <f>IFERROR(INDEX(Lookups!$E$2:$E$14,MATCH(G179,Lookups!$A$2:$A$14,0)),"")</f>
        <v/>
      </c>
      <c r="K179" s="39" t="inlineStr">
        <is>
          <t>ET</t>
        </is>
      </c>
      <c r="L179" s="29">
        <f>IF(J179="n/a","n/a",IFERROR(IF(ABS(INDEX(Lookups!$H$2:$H$5,MATCH(J179,Lookups!$G$2:$G$5,0))-INDEX(Lookups!$H$2:$H$5,MATCH(K179,Lookups!$G$2:$G$5,0)))&lt;=1,"Yes","No"),"Check"))</f>
        <v/>
      </c>
      <c r="M179" s="43" t="n">
        <v>0</v>
      </c>
      <c r="N179" s="29" t="inlineStr">
        <is>
          <t>No (Allocated)</t>
        </is>
      </c>
      <c r="O179" s="39" t="n">
        <v>0</v>
      </c>
      <c r="P179" s="27" t="n"/>
      <c r="Q179" s="29">
        <f>IF(N179&lt;&gt;"Yes","n/a",IF(OR(AND(O179&lt;&gt;"",O179&gt;$W$1),P179="Y"),"Yes",IF(O179&lt;&gt;"","No","Pending")))</f>
        <v/>
      </c>
      <c r="R179" s="29" t="n"/>
      <c r="S179" s="29" t="inlineStr">
        <is>
          <t>Carolina Prieto</t>
        </is>
      </c>
      <c r="T179" s="29" t="inlineStr">
        <is>
          <t>State</t>
        </is>
      </c>
      <c r="U179" s="29" t="n"/>
      <c r="X179" s="19" t="inlineStr">
        <is>
          <t>C</t>
        </is>
      </c>
      <c r="Y179" s="19" t="n">
        <v>40.5</v>
      </c>
      <c r="Z179" s="44" t="n">
        <v>0.75</v>
      </c>
      <c r="AA179" s="51" t="n">
        <v>0.543</v>
      </c>
      <c r="AB179" s="47" t="n">
        <v>4</v>
      </c>
      <c r="AC179" s="19" t="inlineStr">
        <is>
          <t>Maintain</t>
        </is>
      </c>
      <c r="AD179" s="19" t="n">
        <v>0</v>
      </c>
      <c r="AE179" s="19" t="inlineStr">
        <is>
          <t>imputed</t>
        </is>
      </c>
    </row>
    <row r="180" ht="15" customHeight="1" s="20">
      <c r="A180" s="29" t="inlineStr">
        <is>
          <t>Massachusetts Department of Transportation</t>
        </is>
      </c>
      <c r="B180" s="29" t="inlineStr">
        <is>
          <t>Massachusetts</t>
        </is>
      </c>
      <c r="C180" s="29" t="inlineStr">
        <is>
          <t>MA</t>
        </is>
      </c>
      <c r="D180" s="29" t="inlineStr">
        <is>
          <t>State</t>
        </is>
      </c>
      <c r="E180" s="29" t="inlineStr">
        <is>
          <t>Stephanie DelSignore</t>
        </is>
      </c>
      <c r="F180" s="29" t="inlineStr">
        <is>
          <t>Halena Martin</t>
        </is>
      </c>
      <c r="G180" s="39" t="inlineStr">
        <is>
          <t>Halena Martin</t>
        </is>
      </c>
      <c r="H180" s="29">
        <f>IF(F180="(not in WIP)","New to Enterprise",IF(F180=G180,"No","Yes"))</f>
        <v/>
      </c>
      <c r="I180" s="29">
        <f>IFERROR(INDEX(Lookups!$B$2:$B$14,MATCH(G180,Lookups!$A$2:$A$14,0)),"Not found")</f>
        <v/>
      </c>
      <c r="J180" s="29">
        <f>IFERROR(INDEX(Lookups!$E$2:$E$14,MATCH(G180,Lookups!$A$2:$A$14,0)),"")</f>
        <v/>
      </c>
      <c r="K180" s="39" t="inlineStr">
        <is>
          <t>ET</t>
        </is>
      </c>
      <c r="L180" s="29">
        <f>IF(J180="n/a","n/a",IFERROR(IF(ABS(INDEX(Lookups!$H$2:$H$5,MATCH(J180,Lookups!$G$2:$G$5,0))-INDEX(Lookups!$H$2:$H$5,MATCH(K180,Lookups!$G$2:$G$5,0)))&lt;=1,"Yes","No"),"Check"))</f>
        <v/>
      </c>
      <c r="M180" s="43" t="n">
        <v>214643.91</v>
      </c>
      <c r="N180" s="29" t="inlineStr">
        <is>
          <t>Yes</t>
        </is>
      </c>
      <c r="O180" s="39" t="n">
        <v>2</v>
      </c>
      <c r="P180" s="27" t="n"/>
      <c r="Q180" s="29">
        <f>IF(N180&lt;&gt;"Yes","n/a",IF(OR(AND(O180&lt;&gt;"",O180&gt;$W$1),P180="Y"),"Yes",IF(O180&lt;&gt;"","No","Pending")))</f>
        <v/>
      </c>
      <c r="R180" s="29" t="n"/>
      <c r="S180" s="29" t="inlineStr">
        <is>
          <t>Taylor Roman</t>
        </is>
      </c>
      <c r="T180" s="29" t="inlineStr">
        <is>
          <t>State</t>
        </is>
      </c>
      <c r="U180" s="29" t="inlineStr">
        <is>
          <t>Email &amp; SMS, Public Records Request</t>
        </is>
      </c>
      <c r="X180" s="19" t="inlineStr">
        <is>
          <t>A</t>
        </is>
      </c>
      <c r="Y180" s="19" t="n">
        <v>61.8</v>
      </c>
      <c r="Z180" s="44" t="n">
        <v>0.75</v>
      </c>
      <c r="AA180" s="51" t="n">
        <v>0.6708</v>
      </c>
      <c r="AB180" s="48" t="n">
        <v>1</v>
      </c>
      <c r="AC180" s="19" t="inlineStr">
        <is>
          <t>Growth engine</t>
        </is>
      </c>
      <c r="AD180" s="19" t="n">
        <v>1</v>
      </c>
      <c r="AE180" s="19" t="inlineStr">
        <is>
          <t>reported</t>
        </is>
      </c>
    </row>
    <row r="181" ht="15" customHeight="1" s="20">
      <c r="A181" s="29" t="inlineStr">
        <is>
          <t>Maine</t>
        </is>
      </c>
      <c r="B181" s="29" t="inlineStr">
        <is>
          <t>Maine</t>
        </is>
      </c>
      <c r="C181" s="29" t="inlineStr">
        <is>
          <t>ME</t>
        </is>
      </c>
      <c r="D181" s="29" t="inlineStr">
        <is>
          <t>State</t>
        </is>
      </c>
      <c r="E181" s="29" t="inlineStr">
        <is>
          <t>No State AE shown (ME)</t>
        </is>
      </c>
      <c r="F181" s="29" t="inlineStr">
        <is>
          <t>Halena Martin</t>
        </is>
      </c>
      <c r="G181" s="39" t="inlineStr">
        <is>
          <t>Halena Martin</t>
        </is>
      </c>
      <c r="H181" s="29">
        <f>IF(F181="(not in WIP)","New to Enterprise",IF(F181=G181,"No","Yes"))</f>
        <v/>
      </c>
      <c r="I181" s="29">
        <f>IFERROR(INDEX(Lookups!$B$2:$B$14,MATCH(G181,Lookups!$A$2:$A$14,0)),"Not found")</f>
        <v/>
      </c>
      <c r="J181" s="29">
        <f>IFERROR(INDEX(Lookups!$E$2:$E$14,MATCH(G181,Lookups!$A$2:$A$14,0)),"")</f>
        <v/>
      </c>
      <c r="K181" s="39" t="inlineStr">
        <is>
          <t>ET</t>
        </is>
      </c>
      <c r="L181" s="29">
        <f>IF(J181="n/a","n/a",IFERROR(IF(ABS(INDEX(Lookups!$H$2:$H$5,MATCH(J181,Lookups!$G$2:$G$5,0))-INDEX(Lookups!$H$2:$H$5,MATCH(K181,Lookups!$G$2:$G$5,0)))&lt;=1,"Yes","No"),"Check"))</f>
        <v/>
      </c>
      <c r="M181" s="43" t="n">
        <v>289386.97</v>
      </c>
      <c r="N181" s="29" t="inlineStr">
        <is>
          <t>Yes</t>
        </is>
      </c>
      <c r="O181" s="39" t="n">
        <v>3</v>
      </c>
      <c r="P181" s="27" t="n"/>
      <c r="Q181" s="29">
        <f>IF(N181&lt;&gt;"Yes","n/a",IF(OR(AND(O181&lt;&gt;"",O181&gt;$W$1),P181="Y"),"Yes",IF(O181&lt;&gt;"","No","Pending")))</f>
        <v/>
      </c>
      <c r="R181" s="29" t="n"/>
      <c r="S181" s="29" t="inlineStr">
        <is>
          <t>Carolina Prieto</t>
        </is>
      </c>
      <c r="T181" s="29" t="inlineStr">
        <is>
          <t>State</t>
        </is>
      </c>
      <c r="U181" s="29" t="inlineStr">
        <is>
          <t>Email &amp; SMS, Engagement &amp; Sentiment, Recurring Services</t>
        </is>
      </c>
      <c r="X181" s="19" t="inlineStr">
        <is>
          <t>D</t>
        </is>
      </c>
      <c r="Y181" s="19" t="n">
        <v>26.9</v>
      </c>
      <c r="Z181" s="44" t="n">
        <v>0.625</v>
      </c>
      <c r="AA181" s="51" t="n">
        <v>0.4114</v>
      </c>
      <c r="AB181" s="46" t="n">
        <v>3</v>
      </c>
      <c r="AC181" s="19" t="inlineStr">
        <is>
          <t>Defend</t>
        </is>
      </c>
      <c r="AD181" s="19" t="n">
        <v>0.5</v>
      </c>
      <c r="AE181" s="19" t="inlineStr">
        <is>
          <t>reported</t>
        </is>
      </c>
    </row>
    <row r="182" ht="15" customHeight="1" s="20">
      <c r="A182" s="29" t="inlineStr">
        <is>
          <t>Maine Department of Health &amp; Human Services</t>
        </is>
      </c>
      <c r="B182" s="29" t="inlineStr">
        <is>
          <t>Maine</t>
        </is>
      </c>
      <c r="C182" s="29" t="inlineStr">
        <is>
          <t>ME</t>
        </is>
      </c>
      <c r="D182" s="29" t="inlineStr">
        <is>
          <t>State</t>
        </is>
      </c>
      <c r="E182" s="29" t="inlineStr">
        <is>
          <t>No State AE shown (ME)</t>
        </is>
      </c>
      <c r="F182" s="29" t="inlineStr">
        <is>
          <t>Halena Martin</t>
        </is>
      </c>
      <c r="G182" s="39" t="inlineStr">
        <is>
          <t>Halena Martin</t>
        </is>
      </c>
      <c r="H182" s="29">
        <f>IF(F182="(not in WIP)","New to Enterprise",IF(F182=G182,"No","Yes"))</f>
        <v/>
      </c>
      <c r="I182" s="29">
        <f>IFERROR(INDEX(Lookups!$B$2:$B$14,MATCH(G182,Lookups!$A$2:$A$14,0)),"Not found")</f>
        <v/>
      </c>
      <c r="J182" s="29">
        <f>IFERROR(INDEX(Lookups!$E$2:$E$14,MATCH(G182,Lookups!$A$2:$A$14,0)),"")</f>
        <v/>
      </c>
      <c r="K182" s="39" t="inlineStr">
        <is>
          <t>ET</t>
        </is>
      </c>
      <c r="L182" s="29">
        <f>IF(J182="n/a","n/a",IFERROR(IF(ABS(INDEX(Lookups!$H$2:$H$5,MATCH(J182,Lookups!$G$2:$G$5,0))-INDEX(Lookups!$H$2:$H$5,MATCH(K182,Lookups!$G$2:$G$5,0)))&lt;=1,"Yes","No"),"Check"))</f>
        <v/>
      </c>
      <c r="M182" s="43" t="n">
        <v>67000</v>
      </c>
      <c r="N182" s="29" t="inlineStr">
        <is>
          <t>Yes</t>
        </is>
      </c>
      <c r="O182" s="39" t="n">
        <v>1</v>
      </c>
      <c r="P182" s="27" t="n"/>
      <c r="Q182" s="29">
        <f>IF(N182&lt;&gt;"Yes","n/a",IF(OR(AND(O182&lt;&gt;"",O182&gt;$W$1),P182="Y"),"Yes",IF(O182&lt;&gt;"","No","Pending")))</f>
        <v/>
      </c>
      <c r="R182" s="29" t="n"/>
      <c r="S182" s="29" t="inlineStr">
        <is>
          <t>Carolina Prieto</t>
        </is>
      </c>
      <c r="T182" s="29" t="inlineStr">
        <is>
          <t>State</t>
        </is>
      </c>
      <c r="U182" s="29" t="inlineStr">
        <is>
          <t>Email &amp; SMS</t>
        </is>
      </c>
      <c r="X182" s="19" t="inlineStr">
        <is>
          <t>D</t>
        </is>
      </c>
      <c r="Y182" s="19" t="n">
        <v>26.9</v>
      </c>
      <c r="Z182" s="44" t="n">
        <v>0.875</v>
      </c>
      <c r="AA182" s="51" t="n">
        <v>0.5114</v>
      </c>
      <c r="AB182" s="47" t="n">
        <v>4</v>
      </c>
      <c r="AC182" s="19" t="inlineStr">
        <is>
          <t>Maintain</t>
        </is>
      </c>
      <c r="AD182" s="19" t="n">
        <v>0.3</v>
      </c>
      <c r="AE182" s="19" t="inlineStr">
        <is>
          <t>reported</t>
        </is>
      </c>
    </row>
    <row r="183" ht="15" customHeight="1" s="20">
      <c r="A183" s="29" t="inlineStr">
        <is>
          <t>Maine Department of Environmental Protection</t>
        </is>
      </c>
      <c r="B183" s="29" t="inlineStr">
        <is>
          <t>Maine</t>
        </is>
      </c>
      <c r="C183" s="29" t="inlineStr">
        <is>
          <t>ME</t>
        </is>
      </c>
      <c r="D183" s="29" t="inlineStr">
        <is>
          <t>State</t>
        </is>
      </c>
      <c r="E183" s="29" t="inlineStr">
        <is>
          <t>No State AE shown (ME)</t>
        </is>
      </c>
      <c r="F183" s="29" t="inlineStr">
        <is>
          <t>Halena Martin</t>
        </is>
      </c>
      <c r="G183" s="39" t="inlineStr">
        <is>
          <t>Halena Martin</t>
        </is>
      </c>
      <c r="H183" s="29">
        <f>IF(F183="(not in WIP)","New to Enterprise",IF(F183=G183,"No","Yes"))</f>
        <v/>
      </c>
      <c r="I183" s="29">
        <f>IFERROR(INDEX(Lookups!$B$2:$B$14,MATCH(G183,Lookups!$A$2:$A$14,0)),"Not found")</f>
        <v/>
      </c>
      <c r="J183" s="29">
        <f>IFERROR(INDEX(Lookups!$E$2:$E$14,MATCH(G183,Lookups!$A$2:$A$14,0)),"")</f>
        <v/>
      </c>
      <c r="K183" s="39" t="inlineStr">
        <is>
          <t>ET</t>
        </is>
      </c>
      <c r="L183" s="29">
        <f>IF(J183="n/a","n/a",IFERROR(IF(ABS(INDEX(Lookups!$H$2:$H$5,MATCH(J183,Lookups!$G$2:$G$5,0))-INDEX(Lookups!$H$2:$H$5,MATCH(K183,Lookups!$G$2:$G$5,0)))&lt;=1,"Yes","No"),"Check"))</f>
        <v/>
      </c>
      <c r="M183" s="43" t="n">
        <v>0</v>
      </c>
      <c r="N183" s="29" t="inlineStr">
        <is>
          <t>No (Allocated)</t>
        </is>
      </c>
      <c r="O183" s="39" t="n">
        <v>0</v>
      </c>
      <c r="P183" s="27" t="n"/>
      <c r="Q183" s="29">
        <f>IF(N183&lt;&gt;"Yes","n/a",IF(OR(AND(O183&lt;&gt;"",O183&gt;$W$1),P183="Y"),"Yes",IF(O183&lt;&gt;"","No","Pending")))</f>
        <v/>
      </c>
      <c r="R183" s="29" t="n"/>
      <c r="S183" s="29" t="inlineStr">
        <is>
          <t>Carolina Prieto</t>
        </is>
      </c>
      <c r="T183" s="29" t="inlineStr">
        <is>
          <t>State</t>
        </is>
      </c>
      <c r="U183" s="29" t="n"/>
      <c r="X183" s="19" t="inlineStr">
        <is>
          <t>D</t>
        </is>
      </c>
      <c r="Y183" s="19" t="n">
        <v>26.9</v>
      </c>
      <c r="Z183" s="44" t="n">
        <v>0.75</v>
      </c>
      <c r="AA183" s="51" t="n">
        <v>0.4614</v>
      </c>
      <c r="AB183" s="47" t="n">
        <v>4</v>
      </c>
      <c r="AC183" s="19" t="inlineStr">
        <is>
          <t>Maintain</t>
        </is>
      </c>
      <c r="AD183" s="19" t="n">
        <v>0</v>
      </c>
      <c r="AE183" s="19" t="inlineStr">
        <is>
          <t>imputed</t>
        </is>
      </c>
    </row>
    <row r="184" ht="15" customHeight="1" s="20">
      <c r="A184" s="29" t="inlineStr">
        <is>
          <t>Maine Department of Economic &amp; Community Development</t>
        </is>
      </c>
      <c r="B184" s="29" t="inlineStr">
        <is>
          <t>Maine</t>
        </is>
      </c>
      <c r="C184" s="29" t="inlineStr">
        <is>
          <t>ME</t>
        </is>
      </c>
      <c r="D184" s="29" t="inlineStr">
        <is>
          <t>State</t>
        </is>
      </c>
      <c r="E184" s="29" t="inlineStr">
        <is>
          <t>No State AE shown (ME)</t>
        </is>
      </c>
      <c r="F184" s="29" t="inlineStr">
        <is>
          <t>Halena Martin</t>
        </is>
      </c>
      <c r="G184" s="39" t="inlineStr">
        <is>
          <t>Halena Martin</t>
        </is>
      </c>
      <c r="H184" s="29">
        <f>IF(F184="(not in WIP)","New to Enterprise",IF(F184=G184,"No","Yes"))</f>
        <v/>
      </c>
      <c r="I184" s="29">
        <f>IFERROR(INDEX(Lookups!$B$2:$B$14,MATCH(G184,Lookups!$A$2:$A$14,0)),"Not found")</f>
        <v/>
      </c>
      <c r="J184" s="29">
        <f>IFERROR(INDEX(Lookups!$E$2:$E$14,MATCH(G184,Lookups!$A$2:$A$14,0)),"")</f>
        <v/>
      </c>
      <c r="K184" s="39" t="inlineStr">
        <is>
          <t>ET</t>
        </is>
      </c>
      <c r="L184" s="29">
        <f>IF(J184="n/a","n/a",IFERROR(IF(ABS(INDEX(Lookups!$H$2:$H$5,MATCH(J184,Lookups!$G$2:$G$5,0))-INDEX(Lookups!$H$2:$H$5,MATCH(K184,Lookups!$G$2:$G$5,0)))&lt;=1,"Yes","No"),"Check"))</f>
        <v/>
      </c>
      <c r="M184" s="43" t="n">
        <v>0</v>
      </c>
      <c r="N184" s="29" t="inlineStr">
        <is>
          <t>No (Allocated)</t>
        </is>
      </c>
      <c r="O184" s="39" t="n">
        <v>0</v>
      </c>
      <c r="P184" s="27" t="n"/>
      <c r="Q184" s="29">
        <f>IF(N184&lt;&gt;"Yes","n/a",IF(OR(AND(O184&lt;&gt;"",O184&gt;$W$1),P184="Y"),"Yes",IF(O184&lt;&gt;"","No","Pending")))</f>
        <v/>
      </c>
      <c r="R184" s="29" t="n"/>
      <c r="S184" s="29" t="inlineStr">
        <is>
          <t>Carolina Prieto</t>
        </is>
      </c>
      <c r="T184" s="29" t="inlineStr">
        <is>
          <t>State</t>
        </is>
      </c>
      <c r="U184" s="29" t="n"/>
      <c r="X184" s="19" t="inlineStr">
        <is>
          <t>D</t>
        </is>
      </c>
      <c r="Y184" s="19" t="n">
        <v>26.9</v>
      </c>
      <c r="Z184" s="44" t="n">
        <v>0.75</v>
      </c>
      <c r="AA184" s="51" t="n">
        <v>0.4614</v>
      </c>
      <c r="AB184" s="47" t="n">
        <v>4</v>
      </c>
      <c r="AC184" s="19" t="inlineStr">
        <is>
          <t>Maintain</t>
        </is>
      </c>
      <c r="AD184" s="19" t="n">
        <v>0</v>
      </c>
      <c r="AE184" s="19" t="inlineStr">
        <is>
          <t>imputed</t>
        </is>
      </c>
    </row>
    <row r="185" ht="15" customHeight="1" s="20">
      <c r="A185" s="29" t="inlineStr">
        <is>
          <t>Maine Bureau of Insurance</t>
        </is>
      </c>
      <c r="B185" s="29" t="inlineStr">
        <is>
          <t>Maine</t>
        </is>
      </c>
      <c r="C185" s="29" t="inlineStr">
        <is>
          <t>ME</t>
        </is>
      </c>
      <c r="D185" s="29" t="inlineStr">
        <is>
          <t>State</t>
        </is>
      </c>
      <c r="E185" s="29" t="inlineStr">
        <is>
          <t>No State AE shown (ME)</t>
        </is>
      </c>
      <c r="F185" s="29" t="inlineStr">
        <is>
          <t>Halena Martin</t>
        </is>
      </c>
      <c r="G185" s="39" t="inlineStr">
        <is>
          <t>Halena Martin</t>
        </is>
      </c>
      <c r="H185" s="29">
        <f>IF(F185="(not in WIP)","New to Enterprise",IF(F185=G185,"No","Yes"))</f>
        <v/>
      </c>
      <c r="I185" s="29">
        <f>IFERROR(INDEX(Lookups!$B$2:$B$14,MATCH(G185,Lookups!$A$2:$A$14,0)),"Not found")</f>
        <v/>
      </c>
      <c r="J185" s="29">
        <f>IFERROR(INDEX(Lookups!$E$2:$E$14,MATCH(G185,Lookups!$A$2:$A$14,0)),"")</f>
        <v/>
      </c>
      <c r="K185" s="39" t="inlineStr">
        <is>
          <t>ET</t>
        </is>
      </c>
      <c r="L185" s="29">
        <f>IF(J185="n/a","n/a",IFERROR(IF(ABS(INDEX(Lookups!$H$2:$H$5,MATCH(J185,Lookups!$G$2:$G$5,0))-INDEX(Lookups!$H$2:$H$5,MATCH(K185,Lookups!$G$2:$G$5,0)))&lt;=1,"Yes","No"),"Check"))</f>
        <v/>
      </c>
      <c r="M185" s="43" t="n">
        <v>0</v>
      </c>
      <c r="N185" s="29" t="inlineStr">
        <is>
          <t>No (Allocated)</t>
        </is>
      </c>
      <c r="O185" s="39" t="n">
        <v>0</v>
      </c>
      <c r="P185" s="27" t="n"/>
      <c r="Q185" s="29">
        <f>IF(N185&lt;&gt;"Yes","n/a",IF(OR(AND(O185&lt;&gt;"",O185&gt;$W$1),P185="Y"),"Yes",IF(O185&lt;&gt;"","No","Pending")))</f>
        <v/>
      </c>
      <c r="R185" s="29" t="n"/>
      <c r="S185" s="29" t="inlineStr">
        <is>
          <t>Carolina Prieto</t>
        </is>
      </c>
      <c r="T185" s="29" t="inlineStr">
        <is>
          <t>State</t>
        </is>
      </c>
      <c r="U185" s="29" t="n"/>
      <c r="X185" s="19" t="inlineStr">
        <is>
          <t>D</t>
        </is>
      </c>
      <c r="Y185" s="19" t="n">
        <v>26.9</v>
      </c>
      <c r="Z185" s="44" t="n">
        <v>0.75</v>
      </c>
      <c r="AA185" s="51" t="n">
        <v>0.4614</v>
      </c>
      <c r="AB185" s="47" t="n">
        <v>4</v>
      </c>
      <c r="AC185" s="19" t="inlineStr">
        <is>
          <t>Maintain</t>
        </is>
      </c>
      <c r="AD185" s="19" t="n">
        <v>0</v>
      </c>
      <c r="AE185" s="19" t="inlineStr">
        <is>
          <t>imputed</t>
        </is>
      </c>
    </row>
    <row r="186" ht="15" customHeight="1" s="20">
      <c r="A186" s="29" t="inlineStr">
        <is>
          <t>Maine Attorney General</t>
        </is>
      </c>
      <c r="B186" s="29" t="inlineStr">
        <is>
          <t>Maine</t>
        </is>
      </c>
      <c r="C186" s="29" t="inlineStr">
        <is>
          <t>ME</t>
        </is>
      </c>
      <c r="D186" s="29" t="inlineStr">
        <is>
          <t>State</t>
        </is>
      </c>
      <c r="E186" s="29" t="inlineStr">
        <is>
          <t>No State AE shown (ME)</t>
        </is>
      </c>
      <c r="F186" s="29" t="inlineStr">
        <is>
          <t>Halena Martin</t>
        </is>
      </c>
      <c r="G186" s="39" t="inlineStr">
        <is>
          <t>Halena Martin</t>
        </is>
      </c>
      <c r="H186" s="29">
        <f>IF(F186="(not in WIP)","New to Enterprise",IF(F186=G186,"No","Yes"))</f>
        <v/>
      </c>
      <c r="I186" s="29">
        <f>IFERROR(INDEX(Lookups!$B$2:$B$14,MATCH(G186,Lookups!$A$2:$A$14,0)),"Not found")</f>
        <v/>
      </c>
      <c r="J186" s="29">
        <f>IFERROR(INDEX(Lookups!$E$2:$E$14,MATCH(G186,Lookups!$A$2:$A$14,0)),"")</f>
        <v/>
      </c>
      <c r="K186" s="39" t="inlineStr">
        <is>
          <t>ET</t>
        </is>
      </c>
      <c r="L186" s="29">
        <f>IF(J186="n/a","n/a",IFERROR(IF(ABS(INDEX(Lookups!$H$2:$H$5,MATCH(J186,Lookups!$G$2:$G$5,0))-INDEX(Lookups!$H$2:$H$5,MATCH(K186,Lookups!$G$2:$G$5,0)))&lt;=1,"Yes","No"),"Check"))</f>
        <v/>
      </c>
      <c r="M186" s="43" t="n">
        <v>0</v>
      </c>
      <c r="N186" s="29" t="inlineStr">
        <is>
          <t>No (Allocated)</t>
        </is>
      </c>
      <c r="O186" s="39" t="n">
        <v>0</v>
      </c>
      <c r="P186" s="27" t="n"/>
      <c r="Q186" s="29">
        <f>IF(N186&lt;&gt;"Yes","n/a",IF(OR(AND(O186&lt;&gt;"",O186&gt;$W$1),P186="Y"),"Yes",IF(O186&lt;&gt;"","No","Pending")))</f>
        <v/>
      </c>
      <c r="R186" s="29" t="n"/>
      <c r="S186" s="29" t="inlineStr">
        <is>
          <t>Carolina Prieto</t>
        </is>
      </c>
      <c r="T186" s="29" t="inlineStr">
        <is>
          <t>State</t>
        </is>
      </c>
      <c r="U186" s="29" t="n"/>
      <c r="X186" s="19" t="inlineStr">
        <is>
          <t>D</t>
        </is>
      </c>
      <c r="Y186" s="19" t="n">
        <v>26.9</v>
      </c>
      <c r="Z186" s="44" t="n">
        <v>0.75</v>
      </c>
      <c r="AA186" s="51" t="n">
        <v>0.4614</v>
      </c>
      <c r="AB186" s="47" t="n">
        <v>4</v>
      </c>
      <c r="AC186" s="19" t="inlineStr">
        <is>
          <t>Maintain</t>
        </is>
      </c>
      <c r="AD186" s="19" t="n">
        <v>0</v>
      </c>
      <c r="AE186" s="19" t="inlineStr">
        <is>
          <t>imputed</t>
        </is>
      </c>
    </row>
    <row r="187" ht="15" customHeight="1" s="20">
      <c r="A187" s="29" t="inlineStr">
        <is>
          <t>Maine Department of Agriculture, Conservation and Forestry</t>
        </is>
      </c>
      <c r="B187" s="29" t="inlineStr">
        <is>
          <t>Maine</t>
        </is>
      </c>
      <c r="C187" s="29" t="inlineStr">
        <is>
          <t>ME</t>
        </is>
      </c>
      <c r="D187" s="29" t="inlineStr">
        <is>
          <t>State</t>
        </is>
      </c>
      <c r="E187" s="29" t="inlineStr">
        <is>
          <t>No State AE shown (ME)</t>
        </is>
      </c>
      <c r="F187" s="29" t="inlineStr">
        <is>
          <t>Halena Martin</t>
        </is>
      </c>
      <c r="G187" s="39" t="inlineStr">
        <is>
          <t>Halena Martin</t>
        </is>
      </c>
      <c r="H187" s="29">
        <f>IF(F187="(not in WIP)","New to Enterprise",IF(F187=G187,"No","Yes"))</f>
        <v/>
      </c>
      <c r="I187" s="29">
        <f>IFERROR(INDEX(Lookups!$B$2:$B$14,MATCH(G187,Lookups!$A$2:$A$14,0)),"Not found")</f>
        <v/>
      </c>
      <c r="J187" s="29">
        <f>IFERROR(INDEX(Lookups!$E$2:$E$14,MATCH(G187,Lookups!$A$2:$A$14,0)),"")</f>
        <v/>
      </c>
      <c r="K187" s="39" t="inlineStr">
        <is>
          <t>ET</t>
        </is>
      </c>
      <c r="L187" s="29">
        <f>IF(J187="n/a","n/a",IFERROR(IF(ABS(INDEX(Lookups!$H$2:$H$5,MATCH(J187,Lookups!$G$2:$G$5,0))-INDEX(Lookups!$H$2:$H$5,MATCH(K187,Lookups!$G$2:$G$5,0)))&lt;=1,"Yes","No"),"Check"))</f>
        <v/>
      </c>
      <c r="M187" s="43" t="n">
        <v>0</v>
      </c>
      <c r="N187" s="29" t="inlineStr">
        <is>
          <t>No (Allocated)</t>
        </is>
      </c>
      <c r="O187" s="39" t="n">
        <v>0</v>
      </c>
      <c r="P187" s="27" t="n"/>
      <c r="Q187" s="29">
        <f>IF(N187&lt;&gt;"Yes","n/a",IF(OR(AND(O187&lt;&gt;"",O187&gt;$W$1),P187="Y"),"Yes",IF(O187&lt;&gt;"","No","Pending")))</f>
        <v/>
      </c>
      <c r="R187" s="29" t="n"/>
      <c r="S187" s="29" t="inlineStr">
        <is>
          <t>Carolina Prieto</t>
        </is>
      </c>
      <c r="T187" s="29" t="inlineStr">
        <is>
          <t>State</t>
        </is>
      </c>
      <c r="U187" s="29" t="n"/>
      <c r="X187" s="19" t="inlineStr">
        <is>
          <t>D</t>
        </is>
      </c>
      <c r="Y187" s="19" t="n">
        <v>26.9</v>
      </c>
      <c r="Z187" s="44" t="n">
        <v>0.75</v>
      </c>
      <c r="AA187" s="51" t="n">
        <v>0.4614</v>
      </c>
      <c r="AB187" s="47" t="n">
        <v>4</v>
      </c>
      <c r="AC187" s="19" t="inlineStr">
        <is>
          <t>Maintain</t>
        </is>
      </c>
      <c r="AD187" s="19" t="n">
        <v>0</v>
      </c>
      <c r="AE187" s="19" t="inlineStr">
        <is>
          <t>imputed</t>
        </is>
      </c>
    </row>
    <row r="188" ht="15" customHeight="1" s="20">
      <c r="A188" s="29" t="inlineStr">
        <is>
          <t>Maine Department of Transportation</t>
        </is>
      </c>
      <c r="B188" s="29" t="inlineStr">
        <is>
          <t>Maine</t>
        </is>
      </c>
      <c r="C188" s="29" t="inlineStr">
        <is>
          <t>ME</t>
        </is>
      </c>
      <c r="D188" s="29" t="inlineStr">
        <is>
          <t>State</t>
        </is>
      </c>
      <c r="E188" s="29" t="inlineStr">
        <is>
          <t>No State AE shown (ME)</t>
        </is>
      </c>
      <c r="F188" s="29" t="inlineStr">
        <is>
          <t>Halena Martin</t>
        </is>
      </c>
      <c r="G188" s="39" t="inlineStr">
        <is>
          <t>Halena Martin</t>
        </is>
      </c>
      <c r="H188" s="29">
        <f>IF(F188="(not in WIP)","New to Enterprise",IF(F188=G188,"No","Yes"))</f>
        <v/>
      </c>
      <c r="I188" s="29">
        <f>IFERROR(INDEX(Lookups!$B$2:$B$14,MATCH(G188,Lookups!$A$2:$A$14,0)),"Not found")</f>
        <v/>
      </c>
      <c r="J188" s="29">
        <f>IFERROR(INDEX(Lookups!$E$2:$E$14,MATCH(G188,Lookups!$A$2:$A$14,0)),"")</f>
        <v/>
      </c>
      <c r="K188" s="39" t="inlineStr">
        <is>
          <t>ET</t>
        </is>
      </c>
      <c r="L188" s="29">
        <f>IF(J188="n/a","n/a",IFERROR(IF(ABS(INDEX(Lookups!$H$2:$H$5,MATCH(J188,Lookups!$G$2:$G$5,0))-INDEX(Lookups!$H$2:$H$5,MATCH(K188,Lookups!$G$2:$G$5,0)))&lt;=1,"Yes","No"),"Check"))</f>
        <v/>
      </c>
      <c r="M188" s="43" t="n">
        <v>0</v>
      </c>
      <c r="N188" s="29" t="inlineStr">
        <is>
          <t>No (Allocated)</t>
        </is>
      </c>
      <c r="O188" s="39" t="n">
        <v>0</v>
      </c>
      <c r="P188" s="27" t="n"/>
      <c r="Q188" s="29">
        <f>IF(N188&lt;&gt;"Yes","n/a",IF(OR(AND(O188&lt;&gt;"",O188&gt;$W$1),P188="Y"),"Yes",IF(O188&lt;&gt;"","No","Pending")))</f>
        <v/>
      </c>
      <c r="R188" s="29" t="n"/>
      <c r="S188" s="29" t="inlineStr">
        <is>
          <t>Carolina Prieto</t>
        </is>
      </c>
      <c r="T188" s="29" t="inlineStr">
        <is>
          <t>State</t>
        </is>
      </c>
      <c r="U188" s="29" t="n"/>
      <c r="X188" s="19" t="inlineStr">
        <is>
          <t>D</t>
        </is>
      </c>
      <c r="Y188" s="19" t="n">
        <v>26.9</v>
      </c>
      <c r="Z188" s="44" t="n">
        <v>0.75</v>
      </c>
      <c r="AA188" s="51" t="n">
        <v>0.4614</v>
      </c>
      <c r="AB188" s="47" t="n">
        <v>4</v>
      </c>
      <c r="AC188" s="19" t="inlineStr">
        <is>
          <t>Maintain</t>
        </is>
      </c>
      <c r="AD188" s="19" t="n">
        <v>0</v>
      </c>
      <c r="AE188" s="19" t="inlineStr">
        <is>
          <t>imputed</t>
        </is>
      </c>
    </row>
    <row r="189" ht="15" customHeight="1" s="20">
      <c r="A189" s="29" t="inlineStr">
        <is>
          <t>Maine Department of Inland Fisheries &amp; Wildlife</t>
        </is>
      </c>
      <c r="B189" s="29" t="inlineStr">
        <is>
          <t>Maine</t>
        </is>
      </c>
      <c r="C189" s="29" t="inlineStr">
        <is>
          <t>ME</t>
        </is>
      </c>
      <c r="D189" s="29" t="inlineStr">
        <is>
          <t>State</t>
        </is>
      </c>
      <c r="E189" s="29" t="inlineStr">
        <is>
          <t>No State AE shown (ME)</t>
        </is>
      </c>
      <c r="F189" s="29" t="inlineStr">
        <is>
          <t>Halena Martin</t>
        </is>
      </c>
      <c r="G189" s="39" t="inlineStr">
        <is>
          <t>Halena Martin</t>
        </is>
      </c>
      <c r="H189" s="29">
        <f>IF(F189="(not in WIP)","New to Enterprise",IF(F189=G189,"No","Yes"))</f>
        <v/>
      </c>
      <c r="I189" s="29">
        <f>IFERROR(INDEX(Lookups!$B$2:$B$14,MATCH(G189,Lookups!$A$2:$A$14,0)),"Not found")</f>
        <v/>
      </c>
      <c r="J189" s="29">
        <f>IFERROR(INDEX(Lookups!$E$2:$E$14,MATCH(G189,Lookups!$A$2:$A$14,0)),"")</f>
        <v/>
      </c>
      <c r="K189" s="39" t="inlineStr">
        <is>
          <t>ET</t>
        </is>
      </c>
      <c r="L189" s="29">
        <f>IF(J189="n/a","n/a",IFERROR(IF(ABS(INDEX(Lookups!$H$2:$H$5,MATCH(J189,Lookups!$G$2:$G$5,0))-INDEX(Lookups!$H$2:$H$5,MATCH(K189,Lookups!$G$2:$G$5,0)))&lt;=1,"Yes","No"),"Check"))</f>
        <v/>
      </c>
      <c r="M189" s="43" t="n">
        <v>0</v>
      </c>
      <c r="N189" s="29" t="inlineStr">
        <is>
          <t>No (Allocated)</t>
        </is>
      </c>
      <c r="O189" s="39" t="n">
        <v>0</v>
      </c>
      <c r="P189" s="27" t="n"/>
      <c r="Q189" s="29">
        <f>IF(N189&lt;&gt;"Yes","n/a",IF(OR(AND(O189&lt;&gt;"",O189&gt;$W$1),P189="Y"),"Yes",IF(O189&lt;&gt;"","No","Pending")))</f>
        <v/>
      </c>
      <c r="R189" s="29" t="n"/>
      <c r="S189" s="29" t="inlineStr">
        <is>
          <t>Carolina Prieto</t>
        </is>
      </c>
      <c r="T189" s="29" t="inlineStr">
        <is>
          <t>State</t>
        </is>
      </c>
      <c r="U189" s="29" t="n"/>
      <c r="X189" s="19" t="inlineStr">
        <is>
          <t>D</t>
        </is>
      </c>
      <c r="Y189" s="19" t="n">
        <v>26.9</v>
      </c>
      <c r="Z189" s="44" t="n">
        <v>0.75</v>
      </c>
      <c r="AA189" s="51" t="n">
        <v>0.4614</v>
      </c>
      <c r="AB189" s="47" t="n">
        <v>4</v>
      </c>
      <c r="AC189" s="19" t="inlineStr">
        <is>
          <t>Maintain</t>
        </is>
      </c>
      <c r="AD189" s="19" t="n">
        <v>0</v>
      </c>
      <c r="AE189" s="19" t="inlineStr">
        <is>
          <t>imputed</t>
        </is>
      </c>
    </row>
    <row r="190" ht="15" customHeight="1" s="20">
      <c r="A190" s="29" t="inlineStr">
        <is>
          <t>Maine Department of Marine Resources</t>
        </is>
      </c>
      <c r="B190" s="29" t="inlineStr">
        <is>
          <t>Maine</t>
        </is>
      </c>
      <c r="C190" s="29" t="inlineStr">
        <is>
          <t>ME</t>
        </is>
      </c>
      <c r="D190" s="29" t="inlineStr">
        <is>
          <t>State</t>
        </is>
      </c>
      <c r="E190" s="29" t="inlineStr">
        <is>
          <t>No State AE shown (ME)</t>
        </is>
      </c>
      <c r="F190" s="29" t="inlineStr">
        <is>
          <t>Halena Martin</t>
        </is>
      </c>
      <c r="G190" s="39" t="inlineStr">
        <is>
          <t>Halena Martin</t>
        </is>
      </c>
      <c r="H190" s="29">
        <f>IF(F190="(not in WIP)","New to Enterprise",IF(F190=G190,"No","Yes"))</f>
        <v/>
      </c>
      <c r="I190" s="29">
        <f>IFERROR(INDEX(Lookups!$B$2:$B$14,MATCH(G190,Lookups!$A$2:$A$14,0)),"Not found")</f>
        <v/>
      </c>
      <c r="J190" s="29">
        <f>IFERROR(INDEX(Lookups!$E$2:$E$14,MATCH(G190,Lookups!$A$2:$A$14,0)),"")</f>
        <v/>
      </c>
      <c r="K190" s="39" t="inlineStr">
        <is>
          <t>ET</t>
        </is>
      </c>
      <c r="L190" s="29">
        <f>IF(J190="n/a","n/a",IFERROR(IF(ABS(INDEX(Lookups!$H$2:$H$5,MATCH(J190,Lookups!$G$2:$G$5,0))-INDEX(Lookups!$H$2:$H$5,MATCH(K190,Lookups!$G$2:$G$5,0)))&lt;=1,"Yes","No"),"Check"))</f>
        <v/>
      </c>
      <c r="M190" s="43" t="n">
        <v>0</v>
      </c>
      <c r="N190" s="29" t="inlineStr">
        <is>
          <t>No (Allocated)</t>
        </is>
      </c>
      <c r="O190" s="39" t="n">
        <v>0</v>
      </c>
      <c r="P190" s="27" t="n"/>
      <c r="Q190" s="29">
        <f>IF(N190&lt;&gt;"Yes","n/a",IF(OR(AND(O190&lt;&gt;"",O190&gt;$W$1),P190="Y"),"Yes",IF(O190&lt;&gt;"","No","Pending")))</f>
        <v/>
      </c>
      <c r="R190" s="29" t="n"/>
      <c r="S190" s="29" t="inlineStr">
        <is>
          <t>Carolina Prieto</t>
        </is>
      </c>
      <c r="T190" s="29" t="inlineStr">
        <is>
          <t>State</t>
        </is>
      </c>
      <c r="U190" s="29" t="n"/>
      <c r="X190" s="19" t="inlineStr">
        <is>
          <t>D</t>
        </is>
      </c>
      <c r="Y190" s="19" t="n">
        <v>26.9</v>
      </c>
      <c r="Z190" s="44" t="n">
        <v>0.75</v>
      </c>
      <c r="AA190" s="51" t="n">
        <v>0.4614</v>
      </c>
      <c r="AB190" s="47" t="n">
        <v>4</v>
      </c>
      <c r="AC190" s="19" t="inlineStr">
        <is>
          <t>Maintain</t>
        </is>
      </c>
      <c r="AD190" s="19" t="n">
        <v>0</v>
      </c>
      <c r="AE190" s="19" t="inlineStr">
        <is>
          <t>imputed</t>
        </is>
      </c>
    </row>
    <row r="191" ht="15" customHeight="1" s="20">
      <c r="A191" s="29" t="inlineStr">
        <is>
          <t>Maine Department of General Services</t>
        </is>
      </c>
      <c r="B191" s="29" t="inlineStr">
        <is>
          <t>Maine</t>
        </is>
      </c>
      <c r="C191" s="29" t="inlineStr">
        <is>
          <t>ME</t>
        </is>
      </c>
      <c r="D191" s="29" t="inlineStr">
        <is>
          <t>State</t>
        </is>
      </c>
      <c r="E191" s="29" t="inlineStr">
        <is>
          <t>No State AE shown (ME)</t>
        </is>
      </c>
      <c r="F191" s="29" t="inlineStr">
        <is>
          <t>Halena Martin</t>
        </is>
      </c>
      <c r="G191" s="39" t="inlineStr">
        <is>
          <t>Halena Martin</t>
        </is>
      </c>
      <c r="H191" s="29">
        <f>IF(F191="(not in WIP)","New to Enterprise",IF(F191=G191,"No","Yes"))</f>
        <v/>
      </c>
      <c r="I191" s="29">
        <f>IFERROR(INDEX(Lookups!$B$2:$B$14,MATCH(G191,Lookups!$A$2:$A$14,0)),"Not found")</f>
        <v/>
      </c>
      <c r="J191" s="29">
        <f>IFERROR(INDEX(Lookups!$E$2:$E$14,MATCH(G191,Lookups!$A$2:$A$14,0)),"")</f>
        <v/>
      </c>
      <c r="K191" s="39" t="inlineStr">
        <is>
          <t>ET</t>
        </is>
      </c>
      <c r="L191" s="29">
        <f>IF(J191="n/a","n/a",IFERROR(IF(ABS(INDEX(Lookups!$H$2:$H$5,MATCH(J191,Lookups!$G$2:$G$5,0))-INDEX(Lookups!$H$2:$H$5,MATCH(K191,Lookups!$G$2:$G$5,0)))&lt;=1,"Yes","No"),"Check"))</f>
        <v/>
      </c>
      <c r="M191" s="43" t="n">
        <v>0</v>
      </c>
      <c r="N191" s="29" t="inlineStr">
        <is>
          <t>No (Allocated)</t>
        </is>
      </c>
      <c r="O191" s="39" t="n">
        <v>0</v>
      </c>
      <c r="P191" s="27" t="n"/>
      <c r="Q191" s="29">
        <f>IF(N191&lt;&gt;"Yes","n/a",IF(OR(AND(O191&lt;&gt;"",O191&gt;$W$1),P191="Y"),"Yes",IF(O191&lt;&gt;"","No","Pending")))</f>
        <v/>
      </c>
      <c r="R191" s="29" t="n"/>
      <c r="S191" s="29" t="inlineStr">
        <is>
          <t>Carolina Prieto</t>
        </is>
      </c>
      <c r="T191" s="29" t="inlineStr">
        <is>
          <t>State</t>
        </is>
      </c>
      <c r="U191" s="29" t="n"/>
      <c r="X191" s="19" t="inlineStr">
        <is>
          <t>D</t>
        </is>
      </c>
      <c r="Y191" s="19" t="n">
        <v>26.9</v>
      </c>
      <c r="Z191" s="44" t="n">
        <v>0.75</v>
      </c>
      <c r="AA191" s="51" t="n">
        <v>0.4614</v>
      </c>
      <c r="AB191" s="47" t="n">
        <v>4</v>
      </c>
      <c r="AC191" s="19" t="inlineStr">
        <is>
          <t>Maintain</t>
        </is>
      </c>
      <c r="AD191" s="19" t="n">
        <v>0</v>
      </c>
      <c r="AE191" s="19" t="inlineStr">
        <is>
          <t>imputed</t>
        </is>
      </c>
    </row>
    <row r="192" ht="15" customHeight="1" s="20">
      <c r="A192" s="29" t="inlineStr">
        <is>
          <t>Maine Treasurers Office</t>
        </is>
      </c>
      <c r="B192" s="29" t="inlineStr">
        <is>
          <t>Maine</t>
        </is>
      </c>
      <c r="C192" s="29" t="inlineStr">
        <is>
          <t>ME</t>
        </is>
      </c>
      <c r="D192" s="29" t="inlineStr">
        <is>
          <t>State</t>
        </is>
      </c>
      <c r="E192" s="29" t="inlineStr">
        <is>
          <t>No State AE shown (ME)</t>
        </is>
      </c>
      <c r="F192" s="29" t="inlineStr">
        <is>
          <t>Halena Martin</t>
        </is>
      </c>
      <c r="G192" s="39" t="inlineStr">
        <is>
          <t>Halena Martin</t>
        </is>
      </c>
      <c r="H192" s="29">
        <f>IF(F192="(not in WIP)","New to Enterprise",IF(F192=G192,"No","Yes"))</f>
        <v/>
      </c>
      <c r="I192" s="29">
        <f>IFERROR(INDEX(Lookups!$B$2:$B$14,MATCH(G192,Lookups!$A$2:$A$14,0)),"Not found")</f>
        <v/>
      </c>
      <c r="J192" s="29">
        <f>IFERROR(INDEX(Lookups!$E$2:$E$14,MATCH(G192,Lookups!$A$2:$A$14,0)),"")</f>
        <v/>
      </c>
      <c r="K192" s="39" t="inlineStr">
        <is>
          <t>ET</t>
        </is>
      </c>
      <c r="L192" s="29">
        <f>IF(J192="n/a","n/a",IFERROR(IF(ABS(INDEX(Lookups!$H$2:$H$5,MATCH(J192,Lookups!$G$2:$G$5,0))-INDEX(Lookups!$H$2:$H$5,MATCH(K192,Lookups!$G$2:$G$5,0)))&lt;=1,"Yes","No"),"Check"))</f>
        <v/>
      </c>
      <c r="M192" s="43" t="n">
        <v>0</v>
      </c>
      <c r="N192" s="29" t="inlineStr">
        <is>
          <t>No (Allocated)</t>
        </is>
      </c>
      <c r="O192" s="39" t="n">
        <v>0</v>
      </c>
      <c r="P192" s="27" t="n"/>
      <c r="Q192" s="29">
        <f>IF(N192&lt;&gt;"Yes","n/a",IF(OR(AND(O192&lt;&gt;"",O192&gt;$W$1),P192="Y"),"Yes",IF(O192&lt;&gt;"","No","Pending")))</f>
        <v/>
      </c>
      <c r="R192" s="29" t="n"/>
      <c r="S192" s="29" t="inlineStr">
        <is>
          <t>Carolina Prieto</t>
        </is>
      </c>
      <c r="T192" s="29" t="inlineStr">
        <is>
          <t>State</t>
        </is>
      </c>
      <c r="U192" s="29" t="n"/>
      <c r="X192" s="19" t="inlineStr">
        <is>
          <t>D</t>
        </is>
      </c>
      <c r="Y192" s="19" t="n">
        <v>26.9</v>
      </c>
      <c r="Z192" s="44" t="n">
        <v>0.75</v>
      </c>
      <c r="AA192" s="51" t="n">
        <v>0.4614</v>
      </c>
      <c r="AB192" s="47" t="n">
        <v>4</v>
      </c>
      <c r="AC192" s="19" t="inlineStr">
        <is>
          <t>Maintain</t>
        </is>
      </c>
      <c r="AD192" s="19" t="n">
        <v>0</v>
      </c>
      <c r="AE192" s="19" t="inlineStr">
        <is>
          <t>imputed</t>
        </is>
      </c>
    </row>
    <row r="193" ht="15" customHeight="1" s="20">
      <c r="A193" s="29" t="inlineStr">
        <is>
          <t>Maine Public Safety Department</t>
        </is>
      </c>
      <c r="B193" s="29" t="inlineStr">
        <is>
          <t>Maine</t>
        </is>
      </c>
      <c r="C193" s="29" t="inlineStr">
        <is>
          <t>ME</t>
        </is>
      </c>
      <c r="D193" s="29" t="inlineStr">
        <is>
          <t>State</t>
        </is>
      </c>
      <c r="E193" s="29" t="inlineStr">
        <is>
          <t>No State AE shown (ME)</t>
        </is>
      </c>
      <c r="F193" s="29" t="inlineStr">
        <is>
          <t>Halena Martin</t>
        </is>
      </c>
      <c r="G193" s="39" t="inlineStr">
        <is>
          <t>Halena Martin</t>
        </is>
      </c>
      <c r="H193" s="29">
        <f>IF(F193="(not in WIP)","New to Enterprise",IF(F193=G193,"No","Yes"))</f>
        <v/>
      </c>
      <c r="I193" s="29">
        <f>IFERROR(INDEX(Lookups!$B$2:$B$14,MATCH(G193,Lookups!$A$2:$A$14,0)),"Not found")</f>
        <v/>
      </c>
      <c r="J193" s="29">
        <f>IFERROR(INDEX(Lookups!$E$2:$E$14,MATCH(G193,Lookups!$A$2:$A$14,0)),"")</f>
        <v/>
      </c>
      <c r="K193" s="39" t="inlineStr">
        <is>
          <t>ET</t>
        </is>
      </c>
      <c r="L193" s="29">
        <f>IF(J193="n/a","n/a",IFERROR(IF(ABS(INDEX(Lookups!$H$2:$H$5,MATCH(J193,Lookups!$G$2:$G$5,0))-INDEX(Lookups!$H$2:$H$5,MATCH(K193,Lookups!$G$2:$G$5,0)))&lt;=1,"Yes","No"),"Check"))</f>
        <v/>
      </c>
      <c r="M193" s="43" t="n">
        <v>0</v>
      </c>
      <c r="N193" s="29" t="inlineStr">
        <is>
          <t>No (Allocated)</t>
        </is>
      </c>
      <c r="O193" s="39" t="n">
        <v>0</v>
      </c>
      <c r="P193" s="27" t="n"/>
      <c r="Q193" s="29">
        <f>IF(N193&lt;&gt;"Yes","n/a",IF(OR(AND(O193&lt;&gt;"",O193&gt;$W$1),P193="Y"),"Yes",IF(O193&lt;&gt;"","No","Pending")))</f>
        <v/>
      </c>
      <c r="R193" s="29" t="n"/>
      <c r="S193" s="29" t="inlineStr">
        <is>
          <t>Carolina Prieto</t>
        </is>
      </c>
      <c r="T193" s="29" t="inlineStr">
        <is>
          <t>State</t>
        </is>
      </c>
      <c r="U193" s="29" t="n"/>
      <c r="X193" s="19" t="inlineStr">
        <is>
          <t>D</t>
        </is>
      </c>
      <c r="Y193" s="19" t="n">
        <v>26.9</v>
      </c>
      <c r="Z193" s="44" t="n">
        <v>0.75</v>
      </c>
      <c r="AA193" s="51" t="n">
        <v>0.4614</v>
      </c>
      <c r="AB193" s="47" t="n">
        <v>4</v>
      </c>
      <c r="AC193" s="19" t="inlineStr">
        <is>
          <t>Maintain</t>
        </is>
      </c>
      <c r="AD193" s="19" t="n">
        <v>0</v>
      </c>
      <c r="AE193" s="19" t="inlineStr">
        <is>
          <t>imputed</t>
        </is>
      </c>
    </row>
    <row r="194" ht="15" customHeight="1" s="20">
      <c r="A194" s="29" t="inlineStr">
        <is>
          <t>The Independent Commission to Investigate the Facts of the Lewiston Tragedy</t>
        </is>
      </c>
      <c r="B194" s="29" t="inlineStr">
        <is>
          <t>Maine</t>
        </is>
      </c>
      <c r="C194" s="29" t="inlineStr">
        <is>
          <t>ME</t>
        </is>
      </c>
      <c r="D194" s="29" t="inlineStr">
        <is>
          <t>State</t>
        </is>
      </c>
      <c r="E194" s="29" t="inlineStr">
        <is>
          <t>No State AE shown (ME)</t>
        </is>
      </c>
      <c r="F194" s="29" t="inlineStr">
        <is>
          <t>Halena Martin</t>
        </is>
      </c>
      <c r="G194" s="39" t="inlineStr">
        <is>
          <t>Halena Martin</t>
        </is>
      </c>
      <c r="H194" s="29">
        <f>IF(F194="(not in WIP)","New to Enterprise",IF(F194=G194,"No","Yes"))</f>
        <v/>
      </c>
      <c r="I194" s="29">
        <f>IFERROR(INDEX(Lookups!$B$2:$B$14,MATCH(G194,Lookups!$A$2:$A$14,0)),"Not found")</f>
        <v/>
      </c>
      <c r="J194" s="29">
        <f>IFERROR(INDEX(Lookups!$E$2:$E$14,MATCH(G194,Lookups!$A$2:$A$14,0)),"")</f>
        <v/>
      </c>
      <c r="K194" s="39" t="inlineStr">
        <is>
          <t>ET</t>
        </is>
      </c>
      <c r="L194" s="29">
        <f>IF(J194="n/a","n/a",IFERROR(IF(ABS(INDEX(Lookups!$H$2:$H$5,MATCH(J194,Lookups!$G$2:$G$5,0))-INDEX(Lookups!$H$2:$H$5,MATCH(K194,Lookups!$G$2:$G$5,0)))&lt;=1,"Yes","No"),"Check"))</f>
        <v/>
      </c>
      <c r="M194" s="43" t="n">
        <v>0</v>
      </c>
      <c r="N194" s="29" t="inlineStr">
        <is>
          <t>No (Allocated)</t>
        </is>
      </c>
      <c r="O194" s="39" t="n">
        <v>0</v>
      </c>
      <c r="P194" s="27" t="n"/>
      <c r="Q194" s="29">
        <f>IF(N194&lt;&gt;"Yes","n/a",IF(OR(AND(O194&lt;&gt;"",O194&gt;$W$1),P194="Y"),"Yes",IF(O194&lt;&gt;"","No","Pending")))</f>
        <v/>
      </c>
      <c r="R194" s="29" t="n"/>
      <c r="S194" s="29" t="inlineStr">
        <is>
          <t>Carolina Prieto</t>
        </is>
      </c>
      <c r="T194" s="29" t="inlineStr">
        <is>
          <t>State</t>
        </is>
      </c>
      <c r="U194" s="29" t="n"/>
      <c r="X194" s="19" t="inlineStr">
        <is>
          <t>D</t>
        </is>
      </c>
      <c r="Y194" s="19" t="n">
        <v>26.9</v>
      </c>
      <c r="Z194" s="44" t="n">
        <v>0.75</v>
      </c>
      <c r="AA194" s="51" t="n">
        <v>0.4614</v>
      </c>
      <c r="AB194" s="47" t="n">
        <v>4</v>
      </c>
      <c r="AC194" s="19" t="inlineStr">
        <is>
          <t>Maintain</t>
        </is>
      </c>
      <c r="AD194" s="19" t="n">
        <v>0</v>
      </c>
      <c r="AE194" s="19" t="inlineStr">
        <is>
          <t>imputed</t>
        </is>
      </c>
    </row>
    <row r="195" ht="15" customHeight="1" s="20">
      <c r="A195" s="29" t="inlineStr">
        <is>
          <t>Maine Office of the Governor</t>
        </is>
      </c>
      <c r="B195" s="29" t="inlineStr">
        <is>
          <t>Maine</t>
        </is>
      </c>
      <c r="C195" s="29" t="inlineStr">
        <is>
          <t>ME</t>
        </is>
      </c>
      <c r="D195" s="29" t="inlineStr">
        <is>
          <t>State</t>
        </is>
      </c>
      <c r="E195" s="29" t="inlineStr">
        <is>
          <t>No State AE shown (ME)</t>
        </is>
      </c>
      <c r="F195" s="29" t="inlineStr">
        <is>
          <t>Halena Martin</t>
        </is>
      </c>
      <c r="G195" s="39" t="inlineStr">
        <is>
          <t>Halena Martin</t>
        </is>
      </c>
      <c r="H195" s="29">
        <f>IF(F195="(not in WIP)","New to Enterprise",IF(F195=G195,"No","Yes"))</f>
        <v/>
      </c>
      <c r="I195" s="29">
        <f>IFERROR(INDEX(Lookups!$B$2:$B$14,MATCH(G195,Lookups!$A$2:$A$14,0)),"Not found")</f>
        <v/>
      </c>
      <c r="J195" s="29">
        <f>IFERROR(INDEX(Lookups!$E$2:$E$14,MATCH(G195,Lookups!$A$2:$A$14,0)),"")</f>
        <v/>
      </c>
      <c r="K195" s="39" t="inlineStr">
        <is>
          <t>ET</t>
        </is>
      </c>
      <c r="L195" s="29">
        <f>IF(J195="n/a","n/a",IFERROR(IF(ABS(INDEX(Lookups!$H$2:$H$5,MATCH(J195,Lookups!$G$2:$G$5,0))-INDEX(Lookups!$H$2:$H$5,MATCH(K195,Lookups!$G$2:$G$5,0)))&lt;=1,"Yes","No"),"Check"))</f>
        <v/>
      </c>
      <c r="M195" s="43" t="n">
        <v>0</v>
      </c>
      <c r="N195" s="29" t="inlineStr">
        <is>
          <t>No (Allocated)</t>
        </is>
      </c>
      <c r="O195" s="39" t="n">
        <v>0</v>
      </c>
      <c r="P195" s="27" t="n"/>
      <c r="Q195" s="29">
        <f>IF(N195&lt;&gt;"Yes","n/a",IF(OR(AND(O195&lt;&gt;"",O195&gt;$W$1),P195="Y"),"Yes",IF(O195&lt;&gt;"","No","Pending")))</f>
        <v/>
      </c>
      <c r="R195" s="29" t="n"/>
      <c r="S195" s="29" t="inlineStr">
        <is>
          <t>Carolina Prieto</t>
        </is>
      </c>
      <c r="T195" s="29" t="inlineStr">
        <is>
          <t>State</t>
        </is>
      </c>
      <c r="U195" s="29" t="n"/>
      <c r="X195" s="19" t="inlineStr">
        <is>
          <t>D</t>
        </is>
      </c>
      <c r="Y195" s="19" t="n">
        <v>26.9</v>
      </c>
      <c r="Z195" s="44" t="n">
        <v>0.75</v>
      </c>
      <c r="AA195" s="51" t="n">
        <v>0.4614</v>
      </c>
      <c r="AB195" s="47" t="n">
        <v>4</v>
      </c>
      <c r="AC195" s="19" t="inlineStr">
        <is>
          <t>Maintain</t>
        </is>
      </c>
      <c r="AD195" s="19" t="n">
        <v>0</v>
      </c>
      <c r="AE195" s="19" t="inlineStr">
        <is>
          <t>imputed</t>
        </is>
      </c>
    </row>
    <row r="196" ht="15" customHeight="1" s="20">
      <c r="A196" s="29" t="inlineStr">
        <is>
          <t>Maine Office of Professional and Occupational Regulation</t>
        </is>
      </c>
      <c r="B196" s="29" t="inlineStr">
        <is>
          <t>Maine</t>
        </is>
      </c>
      <c r="C196" s="29" t="inlineStr">
        <is>
          <t>ME</t>
        </is>
      </c>
      <c r="D196" s="29" t="inlineStr">
        <is>
          <t>State</t>
        </is>
      </c>
      <c r="E196" s="29" t="inlineStr">
        <is>
          <t>No State AE shown (ME)</t>
        </is>
      </c>
      <c r="F196" s="29" t="inlineStr">
        <is>
          <t>Halena Martin</t>
        </is>
      </c>
      <c r="G196" s="39" t="inlineStr">
        <is>
          <t>Halena Martin</t>
        </is>
      </c>
      <c r="H196" s="29">
        <f>IF(F196="(not in WIP)","New to Enterprise",IF(F196=G196,"No","Yes"))</f>
        <v/>
      </c>
      <c r="I196" s="29">
        <f>IFERROR(INDEX(Lookups!$B$2:$B$14,MATCH(G196,Lookups!$A$2:$A$14,0)),"Not found")</f>
        <v/>
      </c>
      <c r="J196" s="29">
        <f>IFERROR(INDEX(Lookups!$E$2:$E$14,MATCH(G196,Lookups!$A$2:$A$14,0)),"")</f>
        <v/>
      </c>
      <c r="K196" s="39" t="inlineStr">
        <is>
          <t>ET</t>
        </is>
      </c>
      <c r="L196" s="29">
        <f>IF(J196="n/a","n/a",IFERROR(IF(ABS(INDEX(Lookups!$H$2:$H$5,MATCH(J196,Lookups!$G$2:$G$5,0))-INDEX(Lookups!$H$2:$H$5,MATCH(K196,Lookups!$G$2:$G$5,0)))&lt;=1,"Yes","No"),"Check"))</f>
        <v/>
      </c>
      <c r="M196" s="43" t="n">
        <v>0</v>
      </c>
      <c r="N196" s="29" t="inlineStr">
        <is>
          <t>No (Allocated)</t>
        </is>
      </c>
      <c r="O196" s="39" t="n">
        <v>0</v>
      </c>
      <c r="P196" s="27" t="n"/>
      <c r="Q196" s="29">
        <f>IF(N196&lt;&gt;"Yes","n/a",IF(OR(AND(O196&lt;&gt;"",O196&gt;$W$1),P196="Y"),"Yes",IF(O196&lt;&gt;"","No","Pending")))</f>
        <v/>
      </c>
      <c r="R196" s="29" t="n"/>
      <c r="S196" s="29" t="inlineStr">
        <is>
          <t>Carolina Prieto</t>
        </is>
      </c>
      <c r="T196" s="29" t="inlineStr">
        <is>
          <t>State</t>
        </is>
      </c>
      <c r="U196" s="29" t="n"/>
      <c r="X196" s="19" t="inlineStr">
        <is>
          <t>D</t>
        </is>
      </c>
      <c r="Y196" s="19" t="n">
        <v>26.9</v>
      </c>
      <c r="Z196" s="44" t="n">
        <v>0.75</v>
      </c>
      <c r="AA196" s="51" t="n">
        <v>0.4614</v>
      </c>
      <c r="AB196" s="47" t="n">
        <v>4</v>
      </c>
      <c r="AC196" s="19" t="inlineStr">
        <is>
          <t>Maintain</t>
        </is>
      </c>
      <c r="AD196" s="19" t="n">
        <v>0</v>
      </c>
      <c r="AE196" s="19" t="inlineStr">
        <is>
          <t>imputed</t>
        </is>
      </c>
    </row>
    <row r="197" ht="15" customHeight="1" s="20">
      <c r="A197" s="29" t="inlineStr">
        <is>
          <t>Maine Emergency Management Agency</t>
        </is>
      </c>
      <c r="B197" s="29" t="inlineStr">
        <is>
          <t>Maine</t>
        </is>
      </c>
      <c r="C197" s="29" t="inlineStr">
        <is>
          <t>ME</t>
        </is>
      </c>
      <c r="D197" s="29" t="inlineStr">
        <is>
          <t>State</t>
        </is>
      </c>
      <c r="E197" s="29" t="inlineStr">
        <is>
          <t>No State AE shown (ME)</t>
        </is>
      </c>
      <c r="F197" s="29" t="inlineStr">
        <is>
          <t>Halena Martin</t>
        </is>
      </c>
      <c r="G197" s="39" t="inlineStr">
        <is>
          <t>Halena Martin</t>
        </is>
      </c>
      <c r="H197" s="29">
        <f>IF(F197="(not in WIP)","New to Enterprise",IF(F197=G197,"No","Yes"))</f>
        <v/>
      </c>
      <c r="I197" s="29">
        <f>IFERROR(INDEX(Lookups!$B$2:$B$14,MATCH(G197,Lookups!$A$2:$A$14,0)),"Not found")</f>
        <v/>
      </c>
      <c r="J197" s="29">
        <f>IFERROR(INDEX(Lookups!$E$2:$E$14,MATCH(G197,Lookups!$A$2:$A$14,0)),"")</f>
        <v/>
      </c>
      <c r="K197" s="39" t="inlineStr">
        <is>
          <t>ET</t>
        </is>
      </c>
      <c r="L197" s="29">
        <f>IF(J197="n/a","n/a",IFERROR(IF(ABS(INDEX(Lookups!$H$2:$H$5,MATCH(J197,Lookups!$G$2:$G$5,0))-INDEX(Lookups!$H$2:$H$5,MATCH(K197,Lookups!$G$2:$G$5,0)))&lt;=1,"Yes","No"),"Check"))</f>
        <v/>
      </c>
      <c r="M197" s="43" t="n">
        <v>0</v>
      </c>
      <c r="N197" s="29" t="inlineStr">
        <is>
          <t>No (Allocated)</t>
        </is>
      </c>
      <c r="O197" s="39" t="n">
        <v>0</v>
      </c>
      <c r="P197" s="27" t="n"/>
      <c r="Q197" s="29">
        <f>IF(N197&lt;&gt;"Yes","n/a",IF(OR(AND(O197&lt;&gt;"",O197&gt;$W$1),P197="Y"),"Yes",IF(O197&lt;&gt;"","No","Pending")))</f>
        <v/>
      </c>
      <c r="R197" s="29" t="n"/>
      <c r="S197" s="29" t="inlineStr">
        <is>
          <t>Carolina Prieto</t>
        </is>
      </c>
      <c r="T197" s="29" t="inlineStr">
        <is>
          <t>State</t>
        </is>
      </c>
      <c r="U197" s="29" t="n"/>
      <c r="X197" s="19" t="inlineStr">
        <is>
          <t>D</t>
        </is>
      </c>
      <c r="Y197" s="19" t="n">
        <v>26.9</v>
      </c>
      <c r="Z197" s="44" t="n">
        <v>0.75</v>
      </c>
      <c r="AA197" s="51" t="n">
        <v>0.4614</v>
      </c>
      <c r="AB197" s="47" t="n">
        <v>4</v>
      </c>
      <c r="AC197" s="19" t="inlineStr">
        <is>
          <t>Maintain</t>
        </is>
      </c>
      <c r="AD197" s="19" t="n">
        <v>0</v>
      </c>
      <c r="AE197" s="19" t="inlineStr">
        <is>
          <t>imputed</t>
        </is>
      </c>
    </row>
    <row r="198" ht="15" customHeight="1" s="20">
      <c r="A198" s="29" t="inlineStr">
        <is>
          <t>Maine House Republicans Office</t>
        </is>
      </c>
      <c r="B198" s="29" t="inlineStr">
        <is>
          <t>Maine</t>
        </is>
      </c>
      <c r="C198" s="29" t="inlineStr">
        <is>
          <t>ME</t>
        </is>
      </c>
      <c r="D198" s="29" t="inlineStr">
        <is>
          <t>State</t>
        </is>
      </c>
      <c r="E198" s="29" t="inlineStr">
        <is>
          <t>No State AE shown (ME)</t>
        </is>
      </c>
      <c r="F198" s="29" t="inlineStr">
        <is>
          <t>Halena Martin</t>
        </is>
      </c>
      <c r="G198" s="39" t="inlineStr">
        <is>
          <t>Halena Martin</t>
        </is>
      </c>
      <c r="H198" s="29">
        <f>IF(F198="(not in WIP)","New to Enterprise",IF(F198=G198,"No","Yes"))</f>
        <v/>
      </c>
      <c r="I198" s="29">
        <f>IFERROR(INDEX(Lookups!$B$2:$B$14,MATCH(G198,Lookups!$A$2:$A$14,0)),"Not found")</f>
        <v/>
      </c>
      <c r="J198" s="29">
        <f>IFERROR(INDEX(Lookups!$E$2:$E$14,MATCH(G198,Lookups!$A$2:$A$14,0)),"")</f>
        <v/>
      </c>
      <c r="K198" s="39" t="inlineStr">
        <is>
          <t>ET</t>
        </is>
      </c>
      <c r="L198" s="29">
        <f>IF(J198="n/a","n/a",IFERROR(IF(ABS(INDEX(Lookups!$H$2:$H$5,MATCH(J198,Lookups!$G$2:$G$5,0))-INDEX(Lookups!$H$2:$H$5,MATCH(K198,Lookups!$G$2:$G$5,0)))&lt;=1,"Yes","No"),"Check"))</f>
        <v/>
      </c>
      <c r="M198" s="43" t="n">
        <v>0</v>
      </c>
      <c r="N198" s="29" t="inlineStr">
        <is>
          <t>No (Allocated)</t>
        </is>
      </c>
      <c r="O198" s="39" t="n">
        <v>0</v>
      </c>
      <c r="P198" s="27" t="n"/>
      <c r="Q198" s="29">
        <f>IF(N198&lt;&gt;"Yes","n/a",IF(OR(AND(O198&lt;&gt;"",O198&gt;$W$1),P198="Y"),"Yes",IF(O198&lt;&gt;"","No","Pending")))</f>
        <v/>
      </c>
      <c r="R198" s="29" t="n"/>
      <c r="S198" s="29" t="inlineStr">
        <is>
          <t>Carolina Prieto</t>
        </is>
      </c>
      <c r="T198" s="29" t="inlineStr">
        <is>
          <t>State</t>
        </is>
      </c>
      <c r="U198" s="29" t="n"/>
      <c r="X198" s="19" t="inlineStr">
        <is>
          <t>D</t>
        </is>
      </c>
      <c r="Y198" s="19" t="n">
        <v>26.9</v>
      </c>
      <c r="Z198" s="44" t="n">
        <v>0.75</v>
      </c>
      <c r="AA198" s="51" t="n">
        <v>0.4614</v>
      </c>
      <c r="AB198" s="47" t="n">
        <v>4</v>
      </c>
      <c r="AC198" s="19" t="inlineStr">
        <is>
          <t>Maintain</t>
        </is>
      </c>
      <c r="AD198" s="19" t="n">
        <v>0</v>
      </c>
      <c r="AE198" s="19" t="inlineStr">
        <is>
          <t>imputed</t>
        </is>
      </c>
    </row>
    <row r="199" ht="15" customHeight="1" s="20">
      <c r="A199" s="29" t="inlineStr">
        <is>
          <t>Maine Office of Securities</t>
        </is>
      </c>
      <c r="B199" s="29" t="inlineStr">
        <is>
          <t>Maine</t>
        </is>
      </c>
      <c r="C199" s="29" t="inlineStr">
        <is>
          <t>ME</t>
        </is>
      </c>
      <c r="D199" s="29" t="inlineStr">
        <is>
          <t>State</t>
        </is>
      </c>
      <c r="E199" s="29" t="inlineStr">
        <is>
          <t>No State AE shown (ME)</t>
        </is>
      </c>
      <c r="F199" s="29" t="inlineStr">
        <is>
          <t>Halena Martin</t>
        </is>
      </c>
      <c r="G199" s="39" t="inlineStr">
        <is>
          <t>Halena Martin</t>
        </is>
      </c>
      <c r="H199" s="29">
        <f>IF(F199="(not in WIP)","New to Enterprise",IF(F199=G199,"No","Yes"))</f>
        <v/>
      </c>
      <c r="I199" s="29">
        <f>IFERROR(INDEX(Lookups!$B$2:$B$14,MATCH(G199,Lookups!$A$2:$A$14,0)),"Not found")</f>
        <v/>
      </c>
      <c r="J199" s="29">
        <f>IFERROR(INDEX(Lookups!$E$2:$E$14,MATCH(G199,Lookups!$A$2:$A$14,0)),"")</f>
        <v/>
      </c>
      <c r="K199" s="39" t="inlineStr">
        <is>
          <t>ET</t>
        </is>
      </c>
      <c r="L199" s="29">
        <f>IF(J199="n/a","n/a",IFERROR(IF(ABS(INDEX(Lookups!$H$2:$H$5,MATCH(J199,Lookups!$G$2:$G$5,0))-INDEX(Lookups!$H$2:$H$5,MATCH(K199,Lookups!$G$2:$G$5,0)))&lt;=1,"Yes","No"),"Check"))</f>
        <v/>
      </c>
      <c r="M199" s="43" t="n">
        <v>0</v>
      </c>
      <c r="N199" s="29" t="inlineStr">
        <is>
          <t>No (Allocated)</t>
        </is>
      </c>
      <c r="O199" s="39" t="n">
        <v>0</v>
      </c>
      <c r="P199" s="27" t="n"/>
      <c r="Q199" s="29">
        <f>IF(N199&lt;&gt;"Yes","n/a",IF(OR(AND(O199&lt;&gt;"",O199&gt;$W$1),P199="Y"),"Yes",IF(O199&lt;&gt;"","No","Pending")))</f>
        <v/>
      </c>
      <c r="R199" s="29" t="n"/>
      <c r="S199" s="29" t="inlineStr">
        <is>
          <t>Carolina Prieto</t>
        </is>
      </c>
      <c r="T199" s="29" t="inlineStr">
        <is>
          <t>State</t>
        </is>
      </c>
      <c r="U199" s="29" t="n"/>
      <c r="X199" s="19" t="inlineStr">
        <is>
          <t>D</t>
        </is>
      </c>
      <c r="Y199" s="19" t="n">
        <v>26.9</v>
      </c>
      <c r="Z199" s="44" t="n">
        <v>0.75</v>
      </c>
      <c r="AA199" s="51" t="n">
        <v>0.4614</v>
      </c>
      <c r="AB199" s="47" t="n">
        <v>4</v>
      </c>
      <c r="AC199" s="19" t="inlineStr">
        <is>
          <t>Maintain</t>
        </is>
      </c>
      <c r="AD199" s="19" t="n">
        <v>0</v>
      </c>
      <c r="AE199" s="19" t="inlineStr">
        <is>
          <t>imputed</t>
        </is>
      </c>
    </row>
    <row r="200" ht="15" customHeight="1" s="20">
      <c r="A200" s="29" t="inlineStr">
        <is>
          <t>Maine State Police</t>
        </is>
      </c>
      <c r="B200" s="29" t="inlineStr">
        <is>
          <t>Maine</t>
        </is>
      </c>
      <c r="C200" s="29" t="inlineStr">
        <is>
          <t>ME</t>
        </is>
      </c>
      <c r="D200" s="29" t="inlineStr">
        <is>
          <t>State</t>
        </is>
      </c>
      <c r="E200" s="29" t="inlineStr">
        <is>
          <t>No State AE shown (ME)</t>
        </is>
      </c>
      <c r="F200" s="29" t="inlineStr">
        <is>
          <t>Halena Martin</t>
        </is>
      </c>
      <c r="G200" s="39" t="inlineStr">
        <is>
          <t>Halena Martin</t>
        </is>
      </c>
      <c r="H200" s="29">
        <f>IF(F200="(not in WIP)","New to Enterprise",IF(F200=G200,"No","Yes"))</f>
        <v/>
      </c>
      <c r="I200" s="29">
        <f>IFERROR(INDEX(Lookups!$B$2:$B$14,MATCH(G200,Lookups!$A$2:$A$14,0)),"Not found")</f>
        <v/>
      </c>
      <c r="J200" s="29">
        <f>IFERROR(INDEX(Lookups!$E$2:$E$14,MATCH(G200,Lookups!$A$2:$A$14,0)),"")</f>
        <v/>
      </c>
      <c r="K200" s="39" t="inlineStr">
        <is>
          <t>ET</t>
        </is>
      </c>
      <c r="L200" s="29">
        <f>IF(J200="n/a","n/a",IFERROR(IF(ABS(INDEX(Lookups!$H$2:$H$5,MATCH(J200,Lookups!$G$2:$G$5,0))-INDEX(Lookups!$H$2:$H$5,MATCH(K200,Lookups!$G$2:$G$5,0)))&lt;=1,"Yes","No"),"Check"))</f>
        <v/>
      </c>
      <c r="M200" s="43" t="n">
        <v>0</v>
      </c>
      <c r="N200" s="29" t="inlineStr">
        <is>
          <t>No (Allocated)</t>
        </is>
      </c>
      <c r="O200" s="39" t="n">
        <v>0</v>
      </c>
      <c r="P200" s="27" t="n"/>
      <c r="Q200" s="29">
        <f>IF(N200&lt;&gt;"Yes","n/a",IF(OR(AND(O200&lt;&gt;"",O200&gt;$W$1),P200="Y"),"Yes",IF(O200&lt;&gt;"","No","Pending")))</f>
        <v/>
      </c>
      <c r="R200" s="29" t="n"/>
      <c r="S200" s="29" t="inlineStr">
        <is>
          <t>Carolina Prieto</t>
        </is>
      </c>
      <c r="T200" s="29" t="inlineStr">
        <is>
          <t>State</t>
        </is>
      </c>
      <c r="U200" s="29" t="n"/>
      <c r="X200" s="19" t="inlineStr">
        <is>
          <t>D</t>
        </is>
      </c>
      <c r="Y200" s="19" t="n">
        <v>26.9</v>
      </c>
      <c r="Z200" s="44" t="n">
        <v>0.75</v>
      </c>
      <c r="AA200" s="51" t="n">
        <v>0.4614</v>
      </c>
      <c r="AB200" s="47" t="n">
        <v>4</v>
      </c>
      <c r="AC200" s="19" t="inlineStr">
        <is>
          <t>Maintain</t>
        </is>
      </c>
      <c r="AD200" s="19" t="n">
        <v>0</v>
      </c>
      <c r="AE200" s="19" t="inlineStr">
        <is>
          <t>imputed</t>
        </is>
      </c>
    </row>
    <row r="201" ht="15" customHeight="1" s="20">
      <c r="A201" s="29" t="inlineStr">
        <is>
          <t>North Jersey Transportation Planning Authority</t>
        </is>
      </c>
      <c r="B201" s="29" t="inlineStr">
        <is>
          <t>Newark NJ</t>
        </is>
      </c>
      <c r="C201" s="29" t="inlineStr">
        <is>
          <t>NJ</t>
        </is>
      </c>
      <c r="D201" s="29" t="inlineStr">
        <is>
          <t>Local ENT</t>
        </is>
      </c>
      <c r="E201" s="29" t="inlineStr">
        <is>
          <t>Andrew Wyzkoski</t>
        </is>
      </c>
      <c r="F201" s="29" t="inlineStr">
        <is>
          <t>(not in WIP)</t>
        </is>
      </c>
      <c r="G201" s="39" t="inlineStr">
        <is>
          <t>Halena Martin</t>
        </is>
      </c>
      <c r="H201" s="29">
        <f>IF(F201="(not in WIP)","New to Enterprise",IF(F201=G201,"No","Yes"))</f>
        <v/>
      </c>
      <c r="I201" s="29">
        <f>IFERROR(INDEX(Lookups!$B$2:$B$14,MATCH(G201,Lookups!$A$2:$A$14,0)),"Not found")</f>
        <v/>
      </c>
      <c r="J201" s="29">
        <f>IFERROR(INDEX(Lookups!$E$2:$E$14,MATCH(G201,Lookups!$A$2:$A$14,0)),"")</f>
        <v/>
      </c>
      <c r="K201" s="39" t="inlineStr">
        <is>
          <t>ET</t>
        </is>
      </c>
      <c r="L201" s="29">
        <f>IF(J201="n/a","n/a",IFERROR(IF(ABS(INDEX(Lookups!$H$2:$H$5,MATCH(J201,Lookups!$G$2:$G$5,0))-INDEX(Lookups!$H$2:$H$5,MATCH(K201,Lookups!$G$2:$G$5,0)))&lt;=1,"Yes","No"),"Check"))</f>
        <v/>
      </c>
      <c r="M201" s="43" t="n">
        <v>23334.06</v>
      </c>
      <c r="N201" s="29" t="inlineStr">
        <is>
          <t>Yes</t>
        </is>
      </c>
      <c r="O201" s="39" t="n">
        <v>3</v>
      </c>
      <c r="P201" s="27" t="n"/>
      <c r="Q201" s="29">
        <f>IF(N201&lt;&gt;"Yes","n/a",IF(OR(AND(O201&lt;&gt;"",O201&gt;$W$1),P201="Y"),"Yes",IF(O201&lt;&gt;"","No","Pending")))</f>
        <v/>
      </c>
      <c r="R201" s="29" t="n"/>
      <c r="S201" s="29" t="inlineStr">
        <is>
          <t>Marcy Castro</t>
        </is>
      </c>
      <c r="T201" s="29" t="inlineStr">
        <is>
          <t>Local ENT</t>
        </is>
      </c>
      <c r="U201" s="29" t="inlineStr">
        <is>
          <t>Email &amp; SMS, Engagement &amp; Sentiment, Recurring Services</t>
        </is>
      </c>
      <c r="X201" s="19" t="inlineStr">
        <is>
          <t>B</t>
        </is>
      </c>
      <c r="Y201" s="19" t="n">
        <v>54</v>
      </c>
      <c r="Z201" s="44" t="n">
        <v>0.625</v>
      </c>
      <c r="AA201" s="51" t="n">
        <v>0.574</v>
      </c>
      <c r="AB201" s="47" t="n">
        <v>4</v>
      </c>
      <c r="AC201" s="19" t="inlineStr">
        <is>
          <t>Maintain</t>
        </is>
      </c>
      <c r="AD201" s="19" t="n">
        <v>0.3</v>
      </c>
      <c r="AE201" s="19" t="inlineStr">
        <is>
          <t>reported</t>
        </is>
      </c>
    </row>
    <row r="202" ht="15" customHeight="1" s="20">
      <c r="A202" s="29" t="inlineStr">
        <is>
          <t>New Jersey Department of Children and Families</t>
        </is>
      </c>
      <c r="B202" s="29" t="inlineStr">
        <is>
          <t>New Jersey</t>
        </is>
      </c>
      <c r="C202" s="29" t="inlineStr">
        <is>
          <t>NJ</t>
        </is>
      </c>
      <c r="D202" s="29" t="inlineStr">
        <is>
          <t>State</t>
        </is>
      </c>
      <c r="E202" s="29" t="inlineStr">
        <is>
          <t>Stephanie DelSignore</t>
        </is>
      </c>
      <c r="F202" s="29" t="inlineStr">
        <is>
          <t>Halena Martin</t>
        </is>
      </c>
      <c r="G202" s="39" t="inlineStr">
        <is>
          <t>Halena Martin</t>
        </is>
      </c>
      <c r="H202" s="29">
        <f>IF(F202="(not in WIP)","New to Enterprise",IF(F202=G202,"No","Yes"))</f>
        <v/>
      </c>
      <c r="I202" s="29">
        <f>IFERROR(INDEX(Lookups!$B$2:$B$14,MATCH(G202,Lookups!$A$2:$A$14,0)),"Not found")</f>
        <v/>
      </c>
      <c r="J202" s="29">
        <f>IFERROR(INDEX(Lookups!$E$2:$E$14,MATCH(G202,Lookups!$A$2:$A$14,0)),"")</f>
        <v/>
      </c>
      <c r="K202" s="39" t="inlineStr">
        <is>
          <t>ET</t>
        </is>
      </c>
      <c r="L202" s="29">
        <f>IF(J202="n/a","n/a",IFERROR(IF(ABS(INDEX(Lookups!$H$2:$H$5,MATCH(J202,Lookups!$G$2:$G$5,0))-INDEX(Lookups!$H$2:$H$5,MATCH(K202,Lookups!$G$2:$G$5,0)))&lt;=1,"Yes","No"),"Check"))</f>
        <v/>
      </c>
      <c r="M202" s="43" t="n">
        <v>122505.28</v>
      </c>
      <c r="N202" s="29" t="inlineStr">
        <is>
          <t>Yes</t>
        </is>
      </c>
      <c r="O202" s="39" t="n">
        <v>4</v>
      </c>
      <c r="P202" s="27" t="n"/>
      <c r="Q202" s="29">
        <f>IF(N202&lt;&gt;"Yes","n/a",IF(OR(AND(O202&lt;&gt;"",O202&gt;$W$1),P202="Y"),"Yes",IF(O202&lt;&gt;"","No","Pending")))</f>
        <v/>
      </c>
      <c r="R202" s="29" t="n"/>
      <c r="S202" s="29" t="inlineStr">
        <is>
          <t>Taylor Roman</t>
        </is>
      </c>
      <c r="T202" s="29" t="inlineStr">
        <is>
          <t>State</t>
        </is>
      </c>
      <c r="U202" s="29" t="inlineStr">
        <is>
          <t>Channel Shift, Email &amp; SMS, Engagement &amp; Sentiment, Recurring Services</t>
        </is>
      </c>
      <c r="X202" s="19" t="inlineStr">
        <is>
          <t>C</t>
        </is>
      </c>
      <c r="Y202" s="19" t="n">
        <v>42.5</v>
      </c>
      <c r="Z202" s="44" t="n">
        <v>0.5</v>
      </c>
      <c r="AA202" s="51" t="n">
        <v>0.455</v>
      </c>
      <c r="AB202" s="46" t="n">
        <v>3</v>
      </c>
      <c r="AC202" s="19" t="inlineStr">
        <is>
          <t>Defend</t>
        </is>
      </c>
      <c r="AD202" s="19" t="n">
        <v>0.5</v>
      </c>
      <c r="AE202" s="19" t="inlineStr">
        <is>
          <t>reported</t>
        </is>
      </c>
    </row>
    <row r="203" ht="15" customHeight="1" s="20">
      <c r="A203" s="29" t="inlineStr">
        <is>
          <t>New Jersey Cybersecurity and Communications Integration Cell</t>
        </is>
      </c>
      <c r="B203" s="29" t="inlineStr">
        <is>
          <t>New Jersey</t>
        </is>
      </c>
      <c r="C203" s="29" t="inlineStr">
        <is>
          <t>NJ</t>
        </is>
      </c>
      <c r="D203" s="29" t="inlineStr">
        <is>
          <t>State</t>
        </is>
      </c>
      <c r="E203" s="29" t="inlineStr">
        <is>
          <t>Stephanie DelSignore</t>
        </is>
      </c>
      <c r="F203" s="29" t="inlineStr">
        <is>
          <t>Halena Martin</t>
        </is>
      </c>
      <c r="G203" s="39" t="inlineStr">
        <is>
          <t>Halena Martin</t>
        </is>
      </c>
      <c r="H203" s="29">
        <f>IF(F203="(not in WIP)","New to Enterprise",IF(F203=G203,"No","Yes"))</f>
        <v/>
      </c>
      <c r="I203" s="29">
        <f>IFERROR(INDEX(Lookups!$B$2:$B$14,MATCH(G203,Lookups!$A$2:$A$14,0)),"Not found")</f>
        <v/>
      </c>
      <c r="J203" s="29">
        <f>IFERROR(INDEX(Lookups!$E$2:$E$14,MATCH(G203,Lookups!$A$2:$A$14,0)),"")</f>
        <v/>
      </c>
      <c r="K203" s="39" t="inlineStr">
        <is>
          <t>ET</t>
        </is>
      </c>
      <c r="L203" s="29">
        <f>IF(J203="n/a","n/a",IFERROR(IF(ABS(INDEX(Lookups!$H$2:$H$5,MATCH(J203,Lookups!$G$2:$G$5,0))-INDEX(Lookups!$H$2:$H$5,MATCH(K203,Lookups!$G$2:$G$5,0)))&lt;=1,"Yes","No"),"Check"))</f>
        <v/>
      </c>
      <c r="M203" s="43" t="n">
        <v>105400.87</v>
      </c>
      <c r="N203" s="29" t="inlineStr">
        <is>
          <t>Yes</t>
        </is>
      </c>
      <c r="O203" s="39" t="n">
        <v>3</v>
      </c>
      <c r="P203" s="27" t="n"/>
      <c r="Q203" s="29">
        <f>IF(N203&lt;&gt;"Yes","n/a",IF(OR(AND(O203&lt;&gt;"",O203&gt;$W$1),P203="Y"),"Yes",IF(O203&lt;&gt;"","No","Pending")))</f>
        <v/>
      </c>
      <c r="R203" s="29" t="n"/>
      <c r="S203" s="29" t="inlineStr">
        <is>
          <t>Eduardo Ruiz</t>
        </is>
      </c>
      <c r="T203" s="29" t="inlineStr">
        <is>
          <t>State</t>
        </is>
      </c>
      <c r="U203" s="29" t="inlineStr">
        <is>
          <t>Websites, Portals, &amp; Intranets, Email &amp; SMS, Experience Agents</t>
        </is>
      </c>
      <c r="X203" s="19" t="inlineStr">
        <is>
          <t>C</t>
        </is>
      </c>
      <c r="Y203" s="19" t="n">
        <v>42.5</v>
      </c>
      <c r="Z203" s="44" t="n">
        <v>0.625</v>
      </c>
      <c r="AA203" s="51" t="n">
        <v>0.505</v>
      </c>
      <c r="AB203" s="46" t="n">
        <v>3</v>
      </c>
      <c r="AC203" s="19" t="inlineStr">
        <is>
          <t>Defend</t>
        </is>
      </c>
      <c r="AD203" s="19" t="n">
        <v>0.5</v>
      </c>
      <c r="AE203" s="19" t="inlineStr">
        <is>
          <t>reported</t>
        </is>
      </c>
    </row>
    <row r="204" ht="15" customHeight="1" s="20">
      <c r="A204" s="29" t="inlineStr">
        <is>
          <t>Dutchess County NY</t>
        </is>
      </c>
      <c r="B204" s="29" t="inlineStr">
        <is>
          <t>Dutchess County NY</t>
        </is>
      </c>
      <c r="C204" s="29" t="inlineStr">
        <is>
          <t>NY</t>
        </is>
      </c>
      <c r="D204" s="29" t="inlineStr">
        <is>
          <t>Local ENT</t>
        </is>
      </c>
      <c r="E204" s="29" t="inlineStr">
        <is>
          <t>Territory 4a (open)</t>
        </is>
      </c>
      <c r="F204" s="29" t="inlineStr">
        <is>
          <t>Halena Martin</t>
        </is>
      </c>
      <c r="G204" s="39" t="inlineStr">
        <is>
          <t>Halena Martin</t>
        </is>
      </c>
      <c r="H204" s="29">
        <f>IF(F204="(not in WIP)","New to Enterprise",IF(F204=G204,"No","Yes"))</f>
        <v/>
      </c>
      <c r="I204" s="29">
        <f>IFERROR(INDEX(Lookups!$B$2:$B$14,MATCH(G204,Lookups!$A$2:$A$14,0)),"Not found")</f>
        <v/>
      </c>
      <c r="J204" s="29">
        <f>IFERROR(INDEX(Lookups!$E$2:$E$14,MATCH(G204,Lookups!$A$2:$A$14,0)),"")</f>
        <v/>
      </c>
      <c r="K204" s="39" t="inlineStr">
        <is>
          <t>ET</t>
        </is>
      </c>
      <c r="L204" s="29">
        <f>IF(J204="n/a","n/a",IFERROR(IF(ABS(INDEX(Lookups!$H$2:$H$5,MATCH(J204,Lookups!$G$2:$G$5,0))-INDEX(Lookups!$H$2:$H$5,MATCH(K204,Lookups!$G$2:$G$5,0)))&lt;=1,"Yes","No"),"Check"))</f>
        <v/>
      </c>
      <c r="M204" s="43" t="n">
        <v>85735.25</v>
      </c>
      <c r="N204" s="29" t="inlineStr">
        <is>
          <t>Yes</t>
        </is>
      </c>
      <c r="O204" s="39" t="n">
        <v>2</v>
      </c>
      <c r="P204" s="27" t="n"/>
      <c r="Q204" s="29">
        <f>IF(N204&lt;&gt;"Yes","n/a",IF(OR(AND(O204&lt;&gt;"",O204&gt;$W$1),P204="Y"),"Yes",IF(O204&lt;&gt;"","No","Pending")))</f>
        <v/>
      </c>
      <c r="R204" s="29" t="n"/>
      <c r="S204" s="29" t="inlineStr">
        <is>
          <t>Marcy Castro</t>
        </is>
      </c>
      <c r="T204" s="29" t="inlineStr">
        <is>
          <t>Local ENT</t>
        </is>
      </c>
      <c r="U204" s="29" t="inlineStr">
        <is>
          <t>Email &amp; SMS, Short-term Rentals</t>
        </is>
      </c>
      <c r="X204" s="19" t="inlineStr">
        <is>
          <t>A</t>
        </is>
      </c>
      <c r="Y204" s="19" t="n">
        <v>64.90000000000001</v>
      </c>
      <c r="Z204" s="44" t="n">
        <v>0.75</v>
      </c>
      <c r="AA204" s="51" t="n">
        <v>0.6894</v>
      </c>
      <c r="AB204" s="49" t="n">
        <v>2</v>
      </c>
      <c r="AC204" s="19" t="inlineStr">
        <is>
          <t>Expansion</t>
        </is>
      </c>
      <c r="AD204" s="19" t="n">
        <v>0.8</v>
      </c>
      <c r="AE204" s="19" t="inlineStr">
        <is>
          <t>reported</t>
        </is>
      </c>
    </row>
    <row r="205" ht="15" customHeight="1" s="20">
      <c r="A205" s="29" t="inlineStr">
        <is>
          <t>Rochester, NY</t>
        </is>
      </c>
      <c r="B205" s="29" t="inlineStr">
        <is>
          <t>Rochester, NY</t>
        </is>
      </c>
      <c r="C205" s="29" t="inlineStr">
        <is>
          <t>NY</t>
        </is>
      </c>
      <c r="D205" s="29" t="inlineStr">
        <is>
          <t>Local ENT</t>
        </is>
      </c>
      <c r="E205" s="29" t="inlineStr">
        <is>
          <t>Territory 4a (open)</t>
        </is>
      </c>
      <c r="F205" s="29" t="inlineStr">
        <is>
          <t>Halena Martin</t>
        </is>
      </c>
      <c r="G205" s="39" t="inlineStr">
        <is>
          <t>Halena Martin</t>
        </is>
      </c>
      <c r="H205" s="29">
        <f>IF(F205="(not in WIP)","New to Enterprise",IF(F205=G205,"No","Yes"))</f>
        <v/>
      </c>
      <c r="I205" s="29">
        <f>IFERROR(INDEX(Lookups!$B$2:$B$14,MATCH(G205,Lookups!$A$2:$A$14,0)),"Not found")</f>
        <v/>
      </c>
      <c r="J205" s="29">
        <f>IFERROR(INDEX(Lookups!$E$2:$E$14,MATCH(G205,Lookups!$A$2:$A$14,0)),"")</f>
        <v/>
      </c>
      <c r="K205" s="39" t="inlineStr">
        <is>
          <t>ET</t>
        </is>
      </c>
      <c r="L205" s="29">
        <f>IF(J205="n/a","n/a",IFERROR(IF(ABS(INDEX(Lookups!$H$2:$H$5,MATCH(J205,Lookups!$G$2:$G$5,0))-INDEX(Lookups!$H$2:$H$5,MATCH(K205,Lookups!$G$2:$G$5,0)))&lt;=1,"Yes","No"),"Check"))</f>
        <v/>
      </c>
      <c r="M205" s="43" t="n">
        <v>80946.14999999999</v>
      </c>
      <c r="N205" s="29" t="inlineStr">
        <is>
          <t>Yes</t>
        </is>
      </c>
      <c r="O205" s="39" t="n">
        <v>1</v>
      </c>
      <c r="P205" s="27" t="n"/>
      <c r="Q205" s="29">
        <f>IF(N205&lt;&gt;"Yes","n/a",IF(OR(AND(O205&lt;&gt;"",O205&gt;$W$1),P205="Y"),"Yes",IF(O205&lt;&gt;"","No","Pending")))</f>
        <v/>
      </c>
      <c r="R205" s="29" t="n"/>
      <c r="S205" s="29" t="inlineStr">
        <is>
          <t>Natalia Sanchez</t>
        </is>
      </c>
      <c r="T205" s="29" t="inlineStr">
        <is>
          <t>Local ENT</t>
        </is>
      </c>
      <c r="U205" s="29" t="inlineStr">
        <is>
          <t>Agenda &amp; Video</t>
        </is>
      </c>
      <c r="X205" s="19" t="inlineStr">
        <is>
          <t>A</t>
        </is>
      </c>
      <c r="Y205" s="19" t="n">
        <v>64.90000000000001</v>
      </c>
      <c r="Z205" s="44" t="n">
        <v>0.875</v>
      </c>
      <c r="AA205" s="51" t="n">
        <v>0.7393999999999999</v>
      </c>
      <c r="AB205" s="49" t="n">
        <v>2</v>
      </c>
      <c r="AC205" s="19" t="inlineStr">
        <is>
          <t>Expansion</t>
        </is>
      </c>
      <c r="AD205" s="19" t="n">
        <v>0.8</v>
      </c>
      <c r="AE205" s="19" t="inlineStr">
        <is>
          <t>reported</t>
        </is>
      </c>
    </row>
    <row r="206" ht="15" customHeight="1" s="20">
      <c r="A206" s="29" t="inlineStr">
        <is>
          <t>Dutchess County NY, District Attorney’s Office</t>
        </is>
      </c>
      <c r="B206" s="29" t="inlineStr">
        <is>
          <t>Dutchess County NY</t>
        </is>
      </c>
      <c r="C206" s="29" t="inlineStr">
        <is>
          <t>NY</t>
        </is>
      </c>
      <c r="D206" s="29" t="inlineStr">
        <is>
          <t>Local ENT</t>
        </is>
      </c>
      <c r="E206" s="29" t="inlineStr">
        <is>
          <t>Territory 4a (open)</t>
        </is>
      </c>
      <c r="F206" s="29" t="inlineStr">
        <is>
          <t>Halena Martin</t>
        </is>
      </c>
      <c r="G206" s="39" t="inlineStr">
        <is>
          <t>Halena Martin</t>
        </is>
      </c>
      <c r="H206" s="29">
        <f>IF(F206="(not in WIP)","New to Enterprise",IF(F206=G206,"No","Yes"))</f>
        <v/>
      </c>
      <c r="I206" s="29">
        <f>IFERROR(INDEX(Lookups!$B$2:$B$14,MATCH(G206,Lookups!$A$2:$A$14,0)),"Not found")</f>
        <v/>
      </c>
      <c r="J206" s="29">
        <f>IFERROR(INDEX(Lookups!$E$2:$E$14,MATCH(G206,Lookups!$A$2:$A$14,0)),"")</f>
        <v/>
      </c>
      <c r="K206" s="39" t="inlineStr">
        <is>
          <t>ET</t>
        </is>
      </c>
      <c r="L206" s="29">
        <f>IF(J206="n/a","n/a",IFERROR(IF(ABS(INDEX(Lookups!$H$2:$H$5,MATCH(J206,Lookups!$G$2:$G$5,0))-INDEX(Lookups!$H$2:$H$5,MATCH(K206,Lookups!$G$2:$G$5,0)))&lt;=1,"Yes","No"),"Check"))</f>
        <v/>
      </c>
      <c r="M206" s="43" t="n">
        <v>60027.61</v>
      </c>
      <c r="N206" s="29" t="inlineStr">
        <is>
          <t>Yes</t>
        </is>
      </c>
      <c r="O206" s="39" t="n">
        <v>2</v>
      </c>
      <c r="P206" s="27" t="n"/>
      <c r="Q206" s="29">
        <f>IF(N206&lt;&gt;"Yes","n/a",IF(OR(AND(O206&lt;&gt;"",O206&gt;$W$1),P206="Y"),"Yes",IF(O206&lt;&gt;"","No","Pending")))</f>
        <v/>
      </c>
      <c r="R206" s="29" t="n"/>
      <c r="S206" s="29" t="inlineStr">
        <is>
          <t>Marcy Castro</t>
        </is>
      </c>
      <c r="T206" s="29" t="inlineStr">
        <is>
          <t>Local ENT</t>
        </is>
      </c>
      <c r="U206" s="29" t="inlineStr">
        <is>
          <t>Other, Public Records Request</t>
        </is>
      </c>
      <c r="X206" s="19" t="inlineStr">
        <is>
          <t>A</t>
        </is>
      </c>
      <c r="Y206" s="19" t="n">
        <v>64.90000000000001</v>
      </c>
      <c r="Z206" s="44" t="n">
        <v>0.75</v>
      </c>
      <c r="AA206" s="51" t="n">
        <v>0.6894</v>
      </c>
      <c r="AB206" s="49" t="n">
        <v>2</v>
      </c>
      <c r="AC206" s="19" t="inlineStr">
        <is>
          <t>Expansion</t>
        </is>
      </c>
      <c r="AD206" s="19" t="n">
        <v>0.8</v>
      </c>
      <c r="AE206" s="19" t="inlineStr">
        <is>
          <t>reported</t>
        </is>
      </c>
    </row>
    <row r="207" ht="15" customHeight="1" s="20">
      <c r="A207" s="29" t="inlineStr">
        <is>
          <t>New York State Department of Labor</t>
        </is>
      </c>
      <c r="B207" s="29" t="inlineStr">
        <is>
          <t>New York</t>
        </is>
      </c>
      <c r="C207" s="29" t="inlineStr">
        <is>
          <t>NY</t>
        </is>
      </c>
      <c r="D207" s="29" t="inlineStr">
        <is>
          <t>State</t>
        </is>
      </c>
      <c r="E207" s="29" t="inlineStr">
        <is>
          <t>Stephanie DelSignore</t>
        </is>
      </c>
      <c r="F207" s="29" t="inlineStr">
        <is>
          <t>Halena Martin</t>
        </is>
      </c>
      <c r="G207" s="39" t="inlineStr">
        <is>
          <t>Halena Martin</t>
        </is>
      </c>
      <c r="H207" s="29">
        <f>IF(F207="(not in WIP)","New to Enterprise",IF(F207=G207,"No","Yes"))</f>
        <v/>
      </c>
      <c r="I207" s="29">
        <f>IFERROR(INDEX(Lookups!$B$2:$B$14,MATCH(G207,Lookups!$A$2:$A$14,0)),"Not found")</f>
        <v/>
      </c>
      <c r="J207" s="29">
        <f>IFERROR(INDEX(Lookups!$E$2:$E$14,MATCH(G207,Lookups!$A$2:$A$14,0)),"")</f>
        <v/>
      </c>
      <c r="K207" s="39" t="inlineStr">
        <is>
          <t>ET</t>
        </is>
      </c>
      <c r="L207" s="29">
        <f>IF(J207="n/a","n/a",IFERROR(IF(ABS(INDEX(Lookups!$H$2:$H$5,MATCH(J207,Lookups!$G$2:$G$5,0))-INDEX(Lookups!$H$2:$H$5,MATCH(K207,Lookups!$G$2:$G$5,0)))&lt;=1,"Yes","No"),"Check"))</f>
        <v/>
      </c>
      <c r="M207" s="43" t="n">
        <v>1601204</v>
      </c>
      <c r="N207" s="29" t="inlineStr">
        <is>
          <t>Yes</t>
        </is>
      </c>
      <c r="O207" s="39" t="n">
        <v>3</v>
      </c>
      <c r="P207" s="27" t="n"/>
      <c r="Q207" s="29">
        <f>IF(N207&lt;&gt;"Yes","n/a",IF(OR(AND(O207&lt;&gt;"",O207&gt;$W$1),P207="Y"),"Yes",IF(O207&lt;&gt;"","No","Pending")))</f>
        <v/>
      </c>
      <c r="R207" s="29" t="n"/>
      <c r="S207" s="29" t="inlineStr">
        <is>
          <t>Taylor Roman</t>
        </is>
      </c>
      <c r="T207" s="29" t="inlineStr">
        <is>
          <t>State</t>
        </is>
      </c>
      <c r="U207" s="29" t="inlineStr">
        <is>
          <t>Email &amp; SMS, Engagement &amp; Sentiment, Recurring Services</t>
        </is>
      </c>
      <c r="X207" s="19" t="inlineStr">
        <is>
          <t>B</t>
        </is>
      </c>
      <c r="Y207" s="19" t="n">
        <v>57</v>
      </c>
      <c r="Z207" s="44" t="n">
        <v>0.625</v>
      </c>
      <c r="AA207" s="51" t="n">
        <v>0.592</v>
      </c>
      <c r="AB207" s="48" t="n">
        <v>1</v>
      </c>
      <c r="AC207" s="19" t="inlineStr">
        <is>
          <t>Growth engine</t>
        </is>
      </c>
      <c r="AD207" s="19" t="n">
        <v>1</v>
      </c>
      <c r="AE207" s="19" t="inlineStr">
        <is>
          <t>reported</t>
        </is>
      </c>
    </row>
    <row r="208" ht="15" customHeight="1" s="20">
      <c r="A208" s="29" t="inlineStr">
        <is>
          <t>New York Office of the Inspector General</t>
        </is>
      </c>
      <c r="B208" s="29" t="inlineStr">
        <is>
          <t>New York</t>
        </is>
      </c>
      <c r="C208" s="29" t="inlineStr">
        <is>
          <t>NY</t>
        </is>
      </c>
      <c r="D208" s="29" t="inlineStr">
        <is>
          <t>State</t>
        </is>
      </c>
      <c r="E208" s="29" t="inlineStr">
        <is>
          <t>Stephanie DelSignore</t>
        </is>
      </c>
      <c r="F208" s="29" t="inlineStr">
        <is>
          <t>(not in WIP)</t>
        </is>
      </c>
      <c r="G208" s="39" t="inlineStr">
        <is>
          <t>Halena Martin</t>
        </is>
      </c>
      <c r="H208" s="29">
        <f>IF(F208="(not in WIP)","New to Enterprise",IF(F208=G208,"No","Yes"))</f>
        <v/>
      </c>
      <c r="I208" s="29">
        <f>IFERROR(INDEX(Lookups!$B$2:$B$14,MATCH(G208,Lookups!$A$2:$A$14,0)),"Not found")</f>
        <v/>
      </c>
      <c r="J208" s="29">
        <f>IFERROR(INDEX(Lookups!$E$2:$E$14,MATCH(G208,Lookups!$A$2:$A$14,0)),"")</f>
        <v/>
      </c>
      <c r="K208" s="39" t="inlineStr">
        <is>
          <t>ET</t>
        </is>
      </c>
      <c r="L208" s="29">
        <f>IF(J208="n/a","n/a",IFERROR(IF(ABS(INDEX(Lookups!$H$2:$H$5,MATCH(J208,Lookups!$G$2:$G$5,0))-INDEX(Lookups!$H$2:$H$5,MATCH(K208,Lookups!$G$2:$G$5,0)))&lt;=1,"Yes","No"),"Check"))</f>
        <v/>
      </c>
      <c r="M208" s="43" t="n">
        <v>31328.33</v>
      </c>
      <c r="N208" s="29" t="inlineStr">
        <is>
          <t>Yes</t>
        </is>
      </c>
      <c r="O208" s="39" t="n">
        <v>1</v>
      </c>
      <c r="P208" s="27" t="n"/>
      <c r="Q208" s="29">
        <f>IF(N208&lt;&gt;"Yes","n/a",IF(OR(AND(O208&lt;&gt;"",O208&gt;$W$1),P208="Y"),"Yes",IF(O208&lt;&gt;"","No","Pending")))</f>
        <v/>
      </c>
      <c r="R208" s="29" t="n"/>
      <c r="S208" s="29" t="inlineStr">
        <is>
          <t>Jake Sager</t>
        </is>
      </c>
      <c r="T208" s="29" t="inlineStr">
        <is>
          <t>State</t>
        </is>
      </c>
      <c r="U208" s="29" t="inlineStr">
        <is>
          <t>Public Records Request</t>
        </is>
      </c>
      <c r="X208" s="19" t="inlineStr">
        <is>
          <t>B</t>
        </is>
      </c>
      <c r="Y208" s="19" t="n">
        <v>57</v>
      </c>
      <c r="Z208" s="44" t="n">
        <v>0.875</v>
      </c>
      <c r="AA208" s="51" t="n">
        <v>0.6919999999999999</v>
      </c>
      <c r="AB208" s="49" t="n">
        <v>2</v>
      </c>
      <c r="AC208" s="19" t="inlineStr">
        <is>
          <t>Expansion</t>
        </is>
      </c>
      <c r="AD208" s="19" t="n">
        <v>0.8</v>
      </c>
      <c r="AE208" s="19" t="inlineStr">
        <is>
          <t>reported</t>
        </is>
      </c>
    </row>
    <row r="209" ht="15" customHeight="1" s="20">
      <c r="A209" s="29" t="inlineStr">
        <is>
          <t>Philadelphia, PA</t>
        </is>
      </c>
      <c r="B209" s="29" t="inlineStr">
        <is>
          <t>Philadelphia, PA</t>
        </is>
      </c>
      <c r="C209" s="29" t="inlineStr">
        <is>
          <t>PA</t>
        </is>
      </c>
      <c r="D209" s="29" t="inlineStr">
        <is>
          <t>Local ENT</t>
        </is>
      </c>
      <c r="E209" s="29" t="inlineStr">
        <is>
          <t>Andrew Wyzkoski</t>
        </is>
      </c>
      <c r="F209" s="29" t="inlineStr">
        <is>
          <t>Halena Martin</t>
        </is>
      </c>
      <c r="G209" s="39" t="inlineStr">
        <is>
          <t>Halena Martin</t>
        </is>
      </c>
      <c r="H209" s="29">
        <f>IF(F209="(not in WIP)","New to Enterprise",IF(F209=G209,"No","Yes"))</f>
        <v/>
      </c>
      <c r="I209" s="29">
        <f>IFERROR(INDEX(Lookups!$B$2:$B$14,MATCH(G209,Lookups!$A$2:$A$14,0)),"Not found")</f>
        <v/>
      </c>
      <c r="J209" s="29">
        <f>IFERROR(INDEX(Lookups!$E$2:$E$14,MATCH(G209,Lookups!$A$2:$A$14,0)),"")</f>
        <v/>
      </c>
      <c r="K209" s="39" t="inlineStr">
        <is>
          <t>ET</t>
        </is>
      </c>
      <c r="L209" s="29">
        <f>IF(J209="n/a","n/a",IFERROR(IF(ABS(INDEX(Lookups!$H$2:$H$5,MATCH(J209,Lookups!$G$2:$G$5,0))-INDEX(Lookups!$H$2:$H$5,MATCH(K209,Lookups!$G$2:$G$5,0)))&lt;=1,"Yes","No"),"Check"))</f>
        <v/>
      </c>
      <c r="M209" s="43" t="n">
        <v>77439.10000000001</v>
      </c>
      <c r="N209" s="29" t="inlineStr">
        <is>
          <t>Yes</t>
        </is>
      </c>
      <c r="O209" s="39" t="n">
        <v>1</v>
      </c>
      <c r="P209" s="27" t="n"/>
      <c r="Q209" s="29">
        <f>IF(N209&lt;&gt;"Yes","n/a",IF(OR(AND(O209&lt;&gt;"",O209&gt;$W$1),P209="Y"),"Yes",IF(O209&lt;&gt;"","No","Pending")))</f>
        <v/>
      </c>
      <c r="R209" s="29" t="n"/>
      <c r="S209" s="29" t="inlineStr">
        <is>
          <t>Steffany Amador</t>
        </is>
      </c>
      <c r="T209" s="29" t="inlineStr">
        <is>
          <t>Local ENT</t>
        </is>
      </c>
      <c r="U209" s="29" t="inlineStr">
        <is>
          <t>Agenda &amp; Video</t>
        </is>
      </c>
      <c r="X209" s="19" t="inlineStr">
        <is>
          <t>B</t>
        </is>
      </c>
      <c r="Y209" s="19" t="n">
        <v>57.9</v>
      </c>
      <c r="Z209" s="44" t="n">
        <v>0.875</v>
      </c>
      <c r="AA209" s="51" t="n">
        <v>0.6974</v>
      </c>
      <c r="AB209" s="49" t="n">
        <v>2</v>
      </c>
      <c r="AC209" s="19" t="inlineStr">
        <is>
          <t>Expansion</t>
        </is>
      </c>
      <c r="AD209" s="19" t="n">
        <v>0.8</v>
      </c>
      <c r="AE209" s="19" t="inlineStr">
        <is>
          <t>reported</t>
        </is>
      </c>
    </row>
    <row r="210" ht="15" customHeight="1" s="20">
      <c r="A210" s="29" t="inlineStr">
        <is>
          <t>Jefferson County KY</t>
        </is>
      </c>
      <c r="B210" s="29" t="inlineStr">
        <is>
          <t>Jefferson County KY</t>
        </is>
      </c>
      <c r="C210" s="29" t="inlineStr">
        <is>
          <t>KY</t>
        </is>
      </c>
      <c r="D210" s="29" t="inlineStr">
        <is>
          <t>Local ENT</t>
        </is>
      </c>
      <c r="E210" s="29" t="inlineStr">
        <is>
          <t>Carter Bradford</t>
        </is>
      </c>
      <c r="F210" s="29" t="inlineStr">
        <is>
          <t>Marcy Castro</t>
        </is>
      </c>
      <c r="G210" s="39" t="inlineStr">
        <is>
          <t>Andy O'Brien</t>
        </is>
      </c>
      <c r="H210" s="29">
        <f>IF(F210="(not in WIP)","New to Enterprise",IF(F210=G210,"No","Yes"))</f>
        <v/>
      </c>
      <c r="I210" s="29">
        <f>IFERROR(INDEX(Lookups!$B$2:$B$14,MATCH(G210,Lookups!$A$2:$A$14,0)),"Not found")</f>
        <v/>
      </c>
      <c r="J210" s="29">
        <f>IFERROR(INDEX(Lookups!$E$2:$E$14,MATCH(G210,Lookups!$A$2:$A$14,0)),"")</f>
        <v/>
      </c>
      <c r="K210" s="39" t="inlineStr">
        <is>
          <t>ET</t>
        </is>
      </c>
      <c r="L210" s="29">
        <f>IF(J210="n/a","n/a",IFERROR(IF(ABS(INDEX(Lookups!$H$2:$H$5,MATCH(J210,Lookups!$G$2:$G$5,0))-INDEX(Lookups!$H$2:$H$5,MATCH(K210,Lookups!$G$2:$G$5,0)))&lt;=1,"Yes","No"),"Check"))</f>
        <v/>
      </c>
      <c r="M210" s="43" t="n">
        <v>72050.22</v>
      </c>
      <c r="N210" s="29" t="inlineStr">
        <is>
          <t>Yes</t>
        </is>
      </c>
      <c r="O210" s="39" t="n">
        <v>6</v>
      </c>
      <c r="P210" s="27" t="n"/>
      <c r="Q210" s="29">
        <f>IF(N210&lt;&gt;"Yes","n/a",IF(OR(AND(O210&lt;&gt;"",O210&gt;$W$1),P210="Y"),"Yes",IF(O210&lt;&gt;"","No","Pending")))</f>
        <v/>
      </c>
      <c r="R210" s="29" t="n"/>
      <c r="S210" s="29" t="inlineStr">
        <is>
          <t>Steffany Amador</t>
        </is>
      </c>
      <c r="T210" s="29" t="inlineStr">
        <is>
          <t>Local ENT</t>
        </is>
      </c>
      <c r="U210" s="29" t="inlineStr">
        <is>
          <t>Email &amp; SMS, Engagement &amp; Sentiment, Experience Agents, Forms &amp; Workflows, Recurring Services, Websites, Portals, &amp; Intranets</t>
        </is>
      </c>
      <c r="X210" s="19" t="inlineStr">
        <is>
          <t>B</t>
        </is>
      </c>
      <c r="Y210" s="19" t="n">
        <v>49.1</v>
      </c>
      <c r="Z210" s="44" t="n">
        <v>0.25</v>
      </c>
      <c r="AA210" s="51" t="n">
        <v>0.3946</v>
      </c>
      <c r="AB210" s="47" t="n">
        <v>4</v>
      </c>
      <c r="AC210" s="19" t="inlineStr">
        <is>
          <t>Maintain</t>
        </is>
      </c>
      <c r="AD210" s="19" t="n">
        <v>0.3</v>
      </c>
      <c r="AE210" s="19" t="inlineStr">
        <is>
          <t>reported</t>
        </is>
      </c>
    </row>
    <row r="211" ht="15" customHeight="1" s="20">
      <c r="A211" s="29" t="inlineStr">
        <is>
          <t>Kentucky Cabinet for Health &amp; Family Services (CHFS)</t>
        </is>
      </c>
      <c r="B211" s="29" t="inlineStr">
        <is>
          <t>Kentucky</t>
        </is>
      </c>
      <c r="C211" s="29" t="inlineStr">
        <is>
          <t>KY</t>
        </is>
      </c>
      <c r="D211" s="29" t="inlineStr">
        <is>
          <t>State</t>
        </is>
      </c>
      <c r="E211" s="29" t="inlineStr">
        <is>
          <t>State AE – KY/TN/AR</t>
        </is>
      </c>
      <c r="F211" s="29" t="inlineStr">
        <is>
          <t>Marcy Castro</t>
        </is>
      </c>
      <c r="G211" s="39" t="inlineStr">
        <is>
          <t>Andy O'Brien</t>
        </is>
      </c>
      <c r="H211" s="29">
        <f>IF(F211="(not in WIP)","New to Enterprise",IF(F211=G211,"No","Yes"))</f>
        <v/>
      </c>
      <c r="I211" s="29">
        <f>IFERROR(INDEX(Lookups!$B$2:$B$14,MATCH(G211,Lookups!$A$2:$A$14,0)),"Not found")</f>
        <v/>
      </c>
      <c r="J211" s="29">
        <f>IFERROR(INDEX(Lookups!$E$2:$E$14,MATCH(G211,Lookups!$A$2:$A$14,0)),"")</f>
        <v/>
      </c>
      <c r="K211" s="39" t="inlineStr">
        <is>
          <t>ET</t>
        </is>
      </c>
      <c r="L211" s="29">
        <f>IF(J211="n/a","n/a",IFERROR(IF(ABS(INDEX(Lookups!$H$2:$H$5,MATCH(J211,Lookups!$G$2:$G$5,0))-INDEX(Lookups!$H$2:$H$5,MATCH(K211,Lookups!$G$2:$G$5,0)))&lt;=1,"Yes","No"),"Check"))</f>
        <v/>
      </c>
      <c r="M211" s="43" t="n">
        <v>376479.91</v>
      </c>
      <c r="N211" s="29" t="inlineStr">
        <is>
          <t>Yes</t>
        </is>
      </c>
      <c r="O211" s="39" t="n">
        <v>4</v>
      </c>
      <c r="P211" s="27" t="n"/>
      <c r="Q211" s="29">
        <f>IF(N211&lt;&gt;"Yes","n/a",IF(OR(AND(O211&lt;&gt;"",O211&gt;$W$1),P211="Y"),"Yes",IF(O211&lt;&gt;"","No","Pending")))</f>
        <v/>
      </c>
      <c r="R211" s="29" t="n"/>
      <c r="S211" s="29" t="inlineStr">
        <is>
          <t>Taylor Roman</t>
        </is>
      </c>
      <c r="T211" s="29" t="inlineStr">
        <is>
          <t>State</t>
        </is>
      </c>
      <c r="U211" s="29" t="inlineStr">
        <is>
          <t>Email &amp; SMS, Engagement &amp; Sentiment, Public Records Request, Recurring Services</t>
        </is>
      </c>
      <c r="X211" s="19" t="inlineStr">
        <is>
          <t>D</t>
        </is>
      </c>
      <c r="Y211" s="19" t="n">
        <v>34.7</v>
      </c>
      <c r="Z211" s="44" t="n">
        <v>0.5</v>
      </c>
      <c r="AA211" s="51" t="n">
        <v>0.4082</v>
      </c>
      <c r="AB211" s="46" t="n">
        <v>3</v>
      </c>
      <c r="AC211" s="19" t="inlineStr">
        <is>
          <t>Defend</t>
        </is>
      </c>
      <c r="AD211" s="19" t="n">
        <v>0.5</v>
      </c>
      <c r="AE211" s="19" t="inlineStr">
        <is>
          <t>reported</t>
        </is>
      </c>
    </row>
    <row r="212" ht="15" customHeight="1" s="20">
      <c r="A212" s="29" t="inlineStr">
        <is>
          <t>Kentucky Transportation Cabinet</t>
        </is>
      </c>
      <c r="B212" s="29" t="inlineStr">
        <is>
          <t>Kentucky</t>
        </is>
      </c>
      <c r="C212" s="29" t="inlineStr">
        <is>
          <t>KY</t>
        </is>
      </c>
      <c r="D212" s="29" t="inlineStr">
        <is>
          <t>State</t>
        </is>
      </c>
      <c r="E212" s="29" t="inlineStr">
        <is>
          <t>State AE – KY/TN/AR</t>
        </is>
      </c>
      <c r="F212" s="29" t="inlineStr">
        <is>
          <t>Marcy Castro</t>
        </is>
      </c>
      <c r="G212" s="39" t="inlineStr">
        <is>
          <t>Andy O'Brien</t>
        </is>
      </c>
      <c r="H212" s="29">
        <f>IF(F212="(not in WIP)","New to Enterprise",IF(F212=G212,"No","Yes"))</f>
        <v/>
      </c>
      <c r="I212" s="29">
        <f>IFERROR(INDEX(Lookups!$B$2:$B$14,MATCH(G212,Lookups!$A$2:$A$14,0)),"Not found")</f>
        <v/>
      </c>
      <c r="J212" s="29">
        <f>IFERROR(INDEX(Lookups!$E$2:$E$14,MATCH(G212,Lookups!$A$2:$A$14,0)),"")</f>
        <v/>
      </c>
      <c r="K212" s="39" t="inlineStr">
        <is>
          <t>ET</t>
        </is>
      </c>
      <c r="L212" s="29">
        <f>IF(J212="n/a","n/a",IFERROR(IF(ABS(INDEX(Lookups!$H$2:$H$5,MATCH(J212,Lookups!$G$2:$G$5,0))-INDEX(Lookups!$H$2:$H$5,MATCH(K212,Lookups!$G$2:$G$5,0)))&lt;=1,"Yes","No"),"Check"))</f>
        <v/>
      </c>
      <c r="M212" s="43" t="n">
        <v>141520.44</v>
      </c>
      <c r="N212" s="29" t="inlineStr">
        <is>
          <t>Yes</t>
        </is>
      </c>
      <c r="O212" s="39" t="n">
        <v>3</v>
      </c>
      <c r="P212" s="27" t="n"/>
      <c r="Q212" s="29">
        <f>IF(N212&lt;&gt;"Yes","n/a",IF(OR(AND(O212&lt;&gt;"",O212&gt;$W$1),P212="Y"),"Yes",IF(O212&lt;&gt;"","No","Pending")))</f>
        <v/>
      </c>
      <c r="R212" s="29" t="n"/>
      <c r="S212" s="29" t="inlineStr">
        <is>
          <t>Taylor Roman</t>
        </is>
      </c>
      <c r="T212" s="29" t="inlineStr">
        <is>
          <t>State</t>
        </is>
      </c>
      <c r="U212" s="29" t="inlineStr">
        <is>
          <t>Email &amp; SMS, Engagement &amp; Sentiment, Recurring Services</t>
        </is>
      </c>
      <c r="X212" s="19" t="inlineStr">
        <is>
          <t>D</t>
        </is>
      </c>
      <c r="Y212" s="19" t="n">
        <v>34.7</v>
      </c>
      <c r="Z212" s="44" t="n">
        <v>0.625</v>
      </c>
      <c r="AA212" s="51" t="n">
        <v>0.4582</v>
      </c>
      <c r="AB212" s="46" t="n">
        <v>3</v>
      </c>
      <c r="AC212" s="19" t="inlineStr">
        <is>
          <t>Defend</t>
        </is>
      </c>
      <c r="AD212" s="19" t="n">
        <v>0.5</v>
      </c>
      <c r="AE212" s="19" t="inlineStr">
        <is>
          <t>reported</t>
        </is>
      </c>
    </row>
    <row r="213" ht="15" customHeight="1" s="20">
      <c r="A213" s="29" t="inlineStr">
        <is>
          <t>Kentucky Office of Homeland Security</t>
        </is>
      </c>
      <c r="B213" s="29" t="inlineStr">
        <is>
          <t>Kentucky</t>
        </is>
      </c>
      <c r="C213" s="29" t="inlineStr">
        <is>
          <t>KY</t>
        </is>
      </c>
      <c r="D213" s="29" t="inlineStr">
        <is>
          <t>State</t>
        </is>
      </c>
      <c r="E213" s="29" t="inlineStr">
        <is>
          <t>State AE – KY/TN/AR</t>
        </is>
      </c>
      <c r="F213" s="29" t="inlineStr">
        <is>
          <t>Marcy Castro</t>
        </is>
      </c>
      <c r="G213" s="39" t="inlineStr">
        <is>
          <t>Andy O'Brien</t>
        </is>
      </c>
      <c r="H213" s="29">
        <f>IF(F213="(not in WIP)","New to Enterprise",IF(F213=G213,"No","Yes"))</f>
        <v/>
      </c>
      <c r="I213" s="29">
        <f>IFERROR(INDEX(Lookups!$B$2:$B$14,MATCH(G213,Lookups!$A$2:$A$14,0)),"Not found")</f>
        <v/>
      </c>
      <c r="J213" s="29">
        <f>IFERROR(INDEX(Lookups!$E$2:$E$14,MATCH(G213,Lookups!$A$2:$A$14,0)),"")</f>
        <v/>
      </c>
      <c r="K213" s="39" t="inlineStr">
        <is>
          <t>ET</t>
        </is>
      </c>
      <c r="L213" s="29">
        <f>IF(J213="n/a","n/a",IFERROR(IF(ABS(INDEX(Lookups!$H$2:$H$5,MATCH(J213,Lookups!$G$2:$G$5,0))-INDEX(Lookups!$H$2:$H$5,MATCH(K213,Lookups!$G$2:$G$5,0)))&lt;=1,"Yes","No"),"Check"))</f>
        <v/>
      </c>
      <c r="M213" s="43" t="n">
        <v>25761.6</v>
      </c>
      <c r="N213" s="29" t="inlineStr">
        <is>
          <t>Yes</t>
        </is>
      </c>
      <c r="O213" s="39" t="n">
        <v>3</v>
      </c>
      <c r="P213" s="27" t="n"/>
      <c r="Q213" s="29">
        <f>IF(N213&lt;&gt;"Yes","n/a",IF(OR(AND(O213&lt;&gt;"",O213&gt;$W$1),P213="Y"),"Yes",IF(O213&lt;&gt;"","No","Pending")))</f>
        <v/>
      </c>
      <c r="R213" s="29" t="n"/>
      <c r="S213" s="29" t="inlineStr">
        <is>
          <t>Andy O'Brien</t>
        </is>
      </c>
      <c r="T213" s="29" t="inlineStr">
        <is>
          <t>State</t>
        </is>
      </c>
      <c r="U213" s="29" t="inlineStr">
        <is>
          <t>Email &amp; SMS, Engagement &amp; Sentiment, Recurring Services</t>
        </is>
      </c>
      <c r="X213" s="19" t="inlineStr">
        <is>
          <t>D</t>
        </is>
      </c>
      <c r="Y213" s="19" t="n">
        <v>34.7</v>
      </c>
      <c r="Z213" s="44" t="n">
        <v>0.625</v>
      </c>
      <c r="AA213" s="51" t="n">
        <v>0.4582</v>
      </c>
      <c r="AB213" s="47" t="n">
        <v>4</v>
      </c>
      <c r="AC213" s="19" t="inlineStr">
        <is>
          <t>Maintain</t>
        </is>
      </c>
      <c r="AD213" s="19" t="n">
        <v>0.3</v>
      </c>
      <c r="AE213" s="19" t="inlineStr">
        <is>
          <t>reported</t>
        </is>
      </c>
    </row>
    <row r="214" ht="15" customHeight="1" s="20">
      <c r="A214" s="29" t="inlineStr">
        <is>
          <t>Frederick County MD</t>
        </is>
      </c>
      <c r="B214" s="29" t="inlineStr">
        <is>
          <t>Frederick County MD</t>
        </is>
      </c>
      <c r="C214" s="29" t="inlineStr">
        <is>
          <t>MD</t>
        </is>
      </c>
      <c r="D214" s="29" t="inlineStr">
        <is>
          <t>Local ENT</t>
        </is>
      </c>
      <c r="E214" s="29" t="inlineStr">
        <is>
          <t>Josh Gondwe</t>
        </is>
      </c>
      <c r="F214" s="29" t="inlineStr">
        <is>
          <t>Andy O'Brien</t>
        </is>
      </c>
      <c r="G214" s="39" t="inlineStr">
        <is>
          <t>Andy O'Brien</t>
        </is>
      </c>
      <c r="H214" s="29">
        <f>IF(F214="(not in WIP)","New to Enterprise",IF(F214=G214,"No","Yes"))</f>
        <v/>
      </c>
      <c r="I214" s="29">
        <f>IFERROR(INDEX(Lookups!$B$2:$B$14,MATCH(G214,Lookups!$A$2:$A$14,0)),"Not found")</f>
        <v/>
      </c>
      <c r="J214" s="29">
        <f>IFERROR(INDEX(Lookups!$E$2:$E$14,MATCH(G214,Lookups!$A$2:$A$14,0)),"")</f>
        <v/>
      </c>
      <c r="K214" s="39" t="inlineStr">
        <is>
          <t>ET</t>
        </is>
      </c>
      <c r="L214" s="29">
        <f>IF(J214="n/a","n/a",IFERROR(IF(ABS(INDEX(Lookups!$H$2:$H$5,MATCH(J214,Lookups!$G$2:$G$5,0))-INDEX(Lookups!$H$2:$H$5,MATCH(K214,Lookups!$G$2:$G$5,0)))&lt;=1,"Yes","No"),"Check"))</f>
        <v/>
      </c>
      <c r="M214" s="43" t="n">
        <v>129966.96</v>
      </c>
      <c r="N214" s="29" t="inlineStr">
        <is>
          <t>Yes</t>
        </is>
      </c>
      <c r="O214" s="39" t="n">
        <v>2</v>
      </c>
      <c r="P214" s="27" t="n"/>
      <c r="Q214" s="29">
        <f>IF(N214&lt;&gt;"Yes","n/a",IF(OR(AND(O214&lt;&gt;"",O214&gt;$W$1),P214="Y"),"Yes",IF(O214&lt;&gt;"","No","Pending")))</f>
        <v/>
      </c>
      <c r="R214" s="29" t="n"/>
      <c r="S214" s="29" t="inlineStr">
        <is>
          <t>Marcy Castro</t>
        </is>
      </c>
      <c r="T214" s="29" t="inlineStr">
        <is>
          <t>Local ENT</t>
        </is>
      </c>
      <c r="U214" s="29" t="inlineStr">
        <is>
          <t>Agenda &amp; Video, Public Records Request</t>
        </is>
      </c>
      <c r="X214" s="19" t="inlineStr">
        <is>
          <t>B</t>
        </is>
      </c>
      <c r="Y214" s="19" t="n">
        <v>56.3</v>
      </c>
      <c r="Z214" s="44" t="n">
        <v>0.75</v>
      </c>
      <c r="AA214" s="51" t="n">
        <v>0.6378</v>
      </c>
      <c r="AB214" s="48" t="n">
        <v>1</v>
      </c>
      <c r="AC214" s="19" t="inlineStr">
        <is>
          <t>Growth engine</t>
        </is>
      </c>
      <c r="AD214" s="19" t="n">
        <v>1</v>
      </c>
      <c r="AE214" s="19" t="inlineStr">
        <is>
          <t>reported</t>
        </is>
      </c>
    </row>
    <row r="215" ht="15" customHeight="1" s="20">
      <c r="A215" s="29" t="inlineStr">
        <is>
          <t>Howard County MD</t>
        </is>
      </c>
      <c r="B215" s="29" t="inlineStr">
        <is>
          <t>Howard County MD</t>
        </is>
      </c>
      <c r="C215" s="29" t="inlineStr">
        <is>
          <t>MD</t>
        </is>
      </c>
      <c r="D215" s="29" t="inlineStr">
        <is>
          <t>Local ENT</t>
        </is>
      </c>
      <c r="E215" s="29" t="inlineStr">
        <is>
          <t>Josh Gondwe</t>
        </is>
      </c>
      <c r="F215" s="29" t="inlineStr">
        <is>
          <t>Andy O'Brien</t>
        </is>
      </c>
      <c r="G215" s="39" t="inlineStr">
        <is>
          <t>Andy O'Brien</t>
        </is>
      </c>
      <c r="H215" s="29">
        <f>IF(F215="(not in WIP)","New to Enterprise",IF(F215=G215,"No","Yes"))</f>
        <v/>
      </c>
      <c r="I215" s="29">
        <f>IFERROR(INDEX(Lookups!$B$2:$B$14,MATCH(G215,Lookups!$A$2:$A$14,0)),"Not found")</f>
        <v/>
      </c>
      <c r="J215" s="29">
        <f>IFERROR(INDEX(Lookups!$E$2:$E$14,MATCH(G215,Lookups!$A$2:$A$14,0)),"")</f>
        <v/>
      </c>
      <c r="K215" s="39" t="inlineStr">
        <is>
          <t>ET</t>
        </is>
      </c>
      <c r="L215" s="29">
        <f>IF(J215="n/a","n/a",IFERROR(IF(ABS(INDEX(Lookups!$H$2:$H$5,MATCH(J215,Lookups!$G$2:$G$5,0))-INDEX(Lookups!$H$2:$H$5,MATCH(K215,Lookups!$G$2:$G$5,0)))&lt;=1,"Yes","No"),"Check"))</f>
        <v/>
      </c>
      <c r="M215" s="43" t="n">
        <v>126987.37</v>
      </c>
      <c r="N215" s="29" t="inlineStr">
        <is>
          <t>Yes</t>
        </is>
      </c>
      <c r="O215" s="39" t="n">
        <v>2</v>
      </c>
      <c r="P215" s="27" t="n"/>
      <c r="Q215" s="29">
        <f>IF(N215&lt;&gt;"Yes","n/a",IF(OR(AND(O215&lt;&gt;"",O215&gt;$W$1),P215="Y"),"Yes",IF(O215&lt;&gt;"","No","Pending")))</f>
        <v/>
      </c>
      <c r="R215" s="29" t="n"/>
      <c r="S215" s="29" t="inlineStr">
        <is>
          <t>Kerrian Dailey</t>
        </is>
      </c>
      <c r="T215" s="29" t="inlineStr">
        <is>
          <t>Local ENT</t>
        </is>
      </c>
      <c r="U215" s="29" t="inlineStr">
        <is>
          <t>Agenda &amp; Video, Email &amp; SMS</t>
        </is>
      </c>
      <c r="X215" s="19" t="inlineStr">
        <is>
          <t>B</t>
        </is>
      </c>
      <c r="Y215" s="19" t="n">
        <v>56.3</v>
      </c>
      <c r="Z215" s="44" t="n">
        <v>0.75</v>
      </c>
      <c r="AA215" s="51" t="n">
        <v>0.6378</v>
      </c>
      <c r="AB215" s="48" t="n">
        <v>1</v>
      </c>
      <c r="AC215" s="19" t="inlineStr">
        <is>
          <t>Growth engine</t>
        </is>
      </c>
      <c r="AD215" s="19" t="n">
        <v>1</v>
      </c>
      <c r="AE215" s="19" t="inlineStr">
        <is>
          <t>reported</t>
        </is>
      </c>
    </row>
    <row r="216" ht="15" customHeight="1" s="20">
      <c r="A216" s="29" t="inlineStr">
        <is>
          <t>Fayetteville, NC</t>
        </is>
      </c>
      <c r="B216" s="29" t="inlineStr">
        <is>
          <t>Fayetteville, NC</t>
        </is>
      </c>
      <c r="C216" s="29" t="inlineStr">
        <is>
          <t>NC</t>
        </is>
      </c>
      <c r="D216" s="29" t="inlineStr">
        <is>
          <t>Local ENT</t>
        </is>
      </c>
      <c r="E216" s="29" t="inlineStr">
        <is>
          <t>Joel Parris</t>
        </is>
      </c>
      <c r="F216" s="29" t="inlineStr">
        <is>
          <t>Andy O'Brien</t>
        </is>
      </c>
      <c r="G216" s="39" t="inlineStr">
        <is>
          <t>Andy O'Brien</t>
        </is>
      </c>
      <c r="H216" s="29">
        <f>IF(F216="(not in WIP)","New to Enterprise",IF(F216=G216,"No","Yes"))</f>
        <v/>
      </c>
      <c r="I216" s="29">
        <f>IFERROR(INDEX(Lookups!$B$2:$B$14,MATCH(G216,Lookups!$A$2:$A$14,0)),"Not found")</f>
        <v/>
      </c>
      <c r="J216" s="29">
        <f>IFERROR(INDEX(Lookups!$E$2:$E$14,MATCH(G216,Lookups!$A$2:$A$14,0)),"")</f>
        <v/>
      </c>
      <c r="K216" s="39" t="inlineStr">
        <is>
          <t>ET</t>
        </is>
      </c>
      <c r="L216" s="29">
        <f>IF(J216="n/a","n/a",IFERROR(IF(ABS(INDEX(Lookups!$H$2:$H$5,MATCH(J216,Lookups!$G$2:$G$5,0))-INDEX(Lookups!$H$2:$H$5,MATCH(K216,Lookups!$G$2:$G$5,0)))&lt;=1,"Yes","No"),"Check"))</f>
        <v/>
      </c>
      <c r="M216" s="43" t="n">
        <v>156226.41</v>
      </c>
      <c r="N216" s="29" t="inlineStr">
        <is>
          <t>Yes</t>
        </is>
      </c>
      <c r="O216" s="39" t="n">
        <v>7</v>
      </c>
      <c r="P216" s="27" t="n"/>
      <c r="Q216" s="29">
        <f>IF(N216&lt;&gt;"Yes","n/a",IF(OR(AND(O216&lt;&gt;"",O216&gt;$W$1),P216="Y"),"Yes",IF(O216&lt;&gt;"","No","Pending")))</f>
        <v/>
      </c>
      <c r="R216" s="29" t="n"/>
      <c r="S216" s="29" t="inlineStr">
        <is>
          <t>Eduardo Ruiz</t>
        </is>
      </c>
      <c r="T216" s="29" t="inlineStr">
        <is>
          <t>Local ENT</t>
        </is>
      </c>
      <c r="U216" s="29" t="inlineStr">
        <is>
          <t>Agenda &amp; Video, Email &amp; SMS, Engagement &amp; Sentiment, Experience Agents, Forms &amp; Workflows, Recurring Services, Websites, Portals, &amp; Intranets</t>
        </is>
      </c>
      <c r="X216" s="19" t="inlineStr">
        <is>
          <t>A</t>
        </is>
      </c>
      <c r="Y216" s="19" t="n">
        <v>64.90000000000001</v>
      </c>
      <c r="Z216" s="44" t="n">
        <v>0.125</v>
      </c>
      <c r="AA216" s="51" t="n">
        <v>0.4394</v>
      </c>
      <c r="AB216" s="46" t="n">
        <v>3</v>
      </c>
      <c r="AC216" s="19" t="inlineStr">
        <is>
          <t>Defend</t>
        </is>
      </c>
      <c r="AD216" s="19" t="n">
        <v>0.5</v>
      </c>
      <c r="AE216" s="19" t="inlineStr">
        <is>
          <t>reported</t>
        </is>
      </c>
    </row>
    <row r="217" ht="15" customHeight="1" s="20">
      <c r="A217" s="29" t="inlineStr">
        <is>
          <t>Onslow County NC</t>
        </is>
      </c>
      <c r="B217" s="29" t="inlineStr">
        <is>
          <t>Onslow County NC</t>
        </is>
      </c>
      <c r="C217" s="29" t="inlineStr">
        <is>
          <t>NC</t>
        </is>
      </c>
      <c r="D217" s="29" t="inlineStr">
        <is>
          <t>Local ENT</t>
        </is>
      </c>
      <c r="E217" s="29" t="inlineStr">
        <is>
          <t>Joel Parris</t>
        </is>
      </c>
      <c r="F217" s="29" t="inlineStr">
        <is>
          <t>Andy O'Brien</t>
        </is>
      </c>
      <c r="G217" s="39" t="inlineStr">
        <is>
          <t>Andy O'Brien</t>
        </is>
      </c>
      <c r="H217" s="29">
        <f>IF(F217="(not in WIP)","New to Enterprise",IF(F217=G217,"No","Yes"))</f>
        <v/>
      </c>
      <c r="I217" s="29">
        <f>IFERROR(INDEX(Lookups!$B$2:$B$14,MATCH(G217,Lookups!$A$2:$A$14,0)),"Not found")</f>
        <v/>
      </c>
      <c r="J217" s="29">
        <f>IFERROR(INDEX(Lookups!$E$2:$E$14,MATCH(G217,Lookups!$A$2:$A$14,0)),"")</f>
        <v/>
      </c>
      <c r="K217" s="39" t="inlineStr">
        <is>
          <t>ET</t>
        </is>
      </c>
      <c r="L217" s="29">
        <f>IF(J217="n/a","n/a",IFERROR(IF(ABS(INDEX(Lookups!$H$2:$H$5,MATCH(J217,Lookups!$G$2:$G$5,0))-INDEX(Lookups!$H$2:$H$5,MATCH(K217,Lookups!$G$2:$G$5,0)))&lt;=1,"Yes","No"),"Check"))</f>
        <v/>
      </c>
      <c r="M217" s="43" t="n">
        <v>46254.87</v>
      </c>
      <c r="N217" s="29" t="inlineStr">
        <is>
          <t>Yes</t>
        </is>
      </c>
      <c r="O217" s="39" t="n">
        <v>1</v>
      </c>
      <c r="P217" s="27" t="n"/>
      <c r="Q217" s="29">
        <f>IF(N217&lt;&gt;"Yes","n/a",IF(OR(AND(O217&lt;&gt;"",O217&gt;$W$1),P217="Y"),"Yes",IF(O217&lt;&gt;"","No","Pending")))</f>
        <v/>
      </c>
      <c r="R217" s="29" t="n"/>
      <c r="S217" s="29" t="inlineStr">
        <is>
          <t>Andrés Pérez</t>
        </is>
      </c>
      <c r="T217" s="29" t="inlineStr">
        <is>
          <t>Local ENT</t>
        </is>
      </c>
      <c r="U217" s="29" t="inlineStr">
        <is>
          <t>Agenda &amp; Video</t>
        </is>
      </c>
      <c r="X217" s="19" t="inlineStr">
        <is>
          <t>A</t>
        </is>
      </c>
      <c r="Y217" s="19" t="n">
        <v>64.90000000000001</v>
      </c>
      <c r="Z217" s="44" t="n">
        <v>0.875</v>
      </c>
      <c r="AA217" s="51" t="n">
        <v>0.7393999999999999</v>
      </c>
      <c r="AB217" s="49" t="n">
        <v>2</v>
      </c>
      <c r="AC217" s="19" t="inlineStr">
        <is>
          <t>Expansion</t>
        </is>
      </c>
      <c r="AD217" s="19" t="n">
        <v>0.8</v>
      </c>
      <c r="AE217" s="19" t="inlineStr">
        <is>
          <t>reported</t>
        </is>
      </c>
    </row>
    <row r="218" ht="15" customHeight="1" s="20">
      <c r="A218" s="29" t="inlineStr">
        <is>
          <t>Richland County SC</t>
        </is>
      </c>
      <c r="B218" s="29" t="inlineStr">
        <is>
          <t>Richland County SC</t>
        </is>
      </c>
      <c r="C218" s="29" t="inlineStr">
        <is>
          <t>SC</t>
        </is>
      </c>
      <c r="D218" s="29" t="inlineStr">
        <is>
          <t>Local ENT</t>
        </is>
      </c>
      <c r="E218" s="29" t="inlineStr">
        <is>
          <t>Joel Parris</t>
        </is>
      </c>
      <c r="F218" s="29" t="inlineStr">
        <is>
          <t>Andy O'Brien</t>
        </is>
      </c>
      <c r="G218" s="39" t="inlineStr">
        <is>
          <t>Andy O'Brien</t>
        </is>
      </c>
      <c r="H218" s="29">
        <f>IF(F218="(not in WIP)","New to Enterprise",IF(F218=G218,"No","Yes"))</f>
        <v/>
      </c>
      <c r="I218" s="29">
        <f>IFERROR(INDEX(Lookups!$B$2:$B$14,MATCH(G218,Lookups!$A$2:$A$14,0)),"Not found")</f>
        <v/>
      </c>
      <c r="J218" s="29">
        <f>IFERROR(INDEX(Lookups!$E$2:$E$14,MATCH(G218,Lookups!$A$2:$A$14,0)),"")</f>
        <v/>
      </c>
      <c r="K218" s="39" t="inlineStr">
        <is>
          <t>ET</t>
        </is>
      </c>
      <c r="L218" s="29">
        <f>IF(J218="n/a","n/a",IFERROR(IF(ABS(INDEX(Lookups!$H$2:$H$5,MATCH(J218,Lookups!$G$2:$G$5,0))-INDEX(Lookups!$H$2:$H$5,MATCH(K218,Lookups!$G$2:$G$5,0)))&lt;=1,"Yes","No"),"Check"))</f>
        <v/>
      </c>
      <c r="M218" s="43" t="n">
        <v>237874.31</v>
      </c>
      <c r="N218" s="29" t="inlineStr">
        <is>
          <t>Yes</t>
        </is>
      </c>
      <c r="O218" s="39" t="n">
        <v>7</v>
      </c>
      <c r="P218" s="27" t="n"/>
      <c r="Q218" s="29">
        <f>IF(N218&lt;&gt;"Yes","n/a",IF(OR(AND(O218&lt;&gt;"",O218&gt;$W$1),P218="Y"),"Yes",IF(O218&lt;&gt;"","No","Pending")))</f>
        <v/>
      </c>
      <c r="R218" s="29" t="n"/>
      <c r="S218" s="29" t="inlineStr">
        <is>
          <t>Brooke Minichino</t>
        </is>
      </c>
      <c r="T218" s="29" t="inlineStr">
        <is>
          <t>Local ENT</t>
        </is>
      </c>
      <c r="U218" s="29" t="inlineStr">
        <is>
          <t>Email &amp; SMS, Engagement &amp; Sentiment, Forms &amp; Workflows, Public Records Request, Recurring Services, Service Request Management, Websites, Portals, &amp; Intranets</t>
        </is>
      </c>
      <c r="X218" s="19" t="inlineStr">
        <is>
          <t>B</t>
        </is>
      </c>
      <c r="Y218" s="19" t="n">
        <v>51.3</v>
      </c>
      <c r="Z218" s="44" t="n">
        <v>0.125</v>
      </c>
      <c r="AA218" s="51" t="n">
        <v>0.3578</v>
      </c>
      <c r="AB218" s="46" t="n">
        <v>3</v>
      </c>
      <c r="AC218" s="19" t="inlineStr">
        <is>
          <t>Defend</t>
        </is>
      </c>
      <c r="AD218" s="19" t="n">
        <v>0.5</v>
      </c>
      <c r="AE218" s="19" t="inlineStr">
        <is>
          <t>reported</t>
        </is>
      </c>
    </row>
    <row r="219" ht="15" customHeight="1" s="20">
      <c r="A219" s="29" t="inlineStr">
        <is>
          <t>Shelby County TN</t>
        </is>
      </c>
      <c r="B219" s="29" t="inlineStr">
        <is>
          <t>Shelby County TN</t>
        </is>
      </c>
      <c r="C219" s="29" t="inlineStr">
        <is>
          <t>TN</t>
        </is>
      </c>
      <c r="D219" s="29" t="inlineStr">
        <is>
          <t>Local ENT</t>
        </is>
      </c>
      <c r="E219" s="29" t="inlineStr">
        <is>
          <t>Carter Bradford</t>
        </is>
      </c>
      <c r="F219" s="29" t="inlineStr">
        <is>
          <t>Marcy Castro</t>
        </is>
      </c>
      <c r="G219" s="39" t="inlineStr">
        <is>
          <t>Andy O'Brien</t>
        </is>
      </c>
      <c r="H219" s="29">
        <f>IF(F219="(not in WIP)","New to Enterprise",IF(F219=G219,"No","Yes"))</f>
        <v/>
      </c>
      <c r="I219" s="29">
        <f>IFERROR(INDEX(Lookups!$B$2:$B$14,MATCH(G219,Lookups!$A$2:$A$14,0)),"Not found")</f>
        <v/>
      </c>
      <c r="J219" s="29">
        <f>IFERROR(INDEX(Lookups!$E$2:$E$14,MATCH(G219,Lookups!$A$2:$A$14,0)),"")</f>
        <v/>
      </c>
      <c r="K219" s="39" t="inlineStr">
        <is>
          <t>CT</t>
        </is>
      </c>
      <c r="L219" s="29">
        <f>IF(J219="n/a","n/a",IFERROR(IF(ABS(INDEX(Lookups!$H$2:$H$5,MATCH(J219,Lookups!$G$2:$G$5,0))-INDEX(Lookups!$H$2:$H$5,MATCH(K219,Lookups!$G$2:$G$5,0)))&lt;=1,"Yes","No"),"Check"))</f>
        <v/>
      </c>
      <c r="M219" s="43" t="n">
        <v>128490.97</v>
      </c>
      <c r="N219" s="29" t="inlineStr">
        <is>
          <t>Yes</t>
        </is>
      </c>
      <c r="O219" s="39" t="n">
        <v>2</v>
      </c>
      <c r="P219" s="27" t="n"/>
      <c r="Q219" s="29">
        <f>IF(N219&lt;&gt;"Yes","n/a",IF(OR(AND(O219&lt;&gt;"",O219&gt;$W$1),P219="Y"),"Yes",IF(O219&lt;&gt;"","No","Pending")))</f>
        <v/>
      </c>
      <c r="R219" s="29" t="n"/>
      <c r="S219" s="29" t="inlineStr">
        <is>
          <t>Carolina Cambronero</t>
        </is>
      </c>
      <c r="T219" s="29" t="inlineStr">
        <is>
          <t>Local ENT</t>
        </is>
      </c>
      <c r="U219" s="29" t="inlineStr">
        <is>
          <t>Agenda &amp; Video, Public Records Request</t>
        </is>
      </c>
      <c r="X219" s="19" t="inlineStr">
        <is>
          <t>B</t>
        </is>
      </c>
      <c r="Y219" s="19" t="n">
        <v>48.7</v>
      </c>
      <c r="Z219" s="44" t="n">
        <v>0.75</v>
      </c>
      <c r="AA219" s="51" t="n">
        <v>0.5921999999999999</v>
      </c>
      <c r="AB219" s="48" t="n">
        <v>1</v>
      </c>
      <c r="AC219" s="19" t="inlineStr">
        <is>
          <t>Growth engine</t>
        </is>
      </c>
      <c r="AD219" s="19" t="n">
        <v>1</v>
      </c>
      <c r="AE219" s="19" t="inlineStr">
        <is>
          <t>reported</t>
        </is>
      </c>
    </row>
    <row r="220" ht="15" customHeight="1" s="20">
      <c r="A220" s="29" t="inlineStr">
        <is>
          <t>Tennessee General Assembly</t>
        </is>
      </c>
      <c r="B220" s="29" t="inlineStr">
        <is>
          <t>Tennessee</t>
        </is>
      </c>
      <c r="C220" s="29" t="inlineStr">
        <is>
          <t>TN</t>
        </is>
      </c>
      <c r="D220" s="29" t="inlineStr">
        <is>
          <t>State</t>
        </is>
      </c>
      <c r="E220" s="29" t="inlineStr">
        <is>
          <t>State AE – KY/TN/AR</t>
        </is>
      </c>
      <c r="F220" s="29" t="inlineStr">
        <is>
          <t>(not in WIP)</t>
        </is>
      </c>
      <c r="G220" s="39" t="inlineStr">
        <is>
          <t>Andy O'Brien</t>
        </is>
      </c>
      <c r="H220" s="29">
        <f>IF(F220="(not in WIP)","New to Enterprise",IF(F220=G220,"No","Yes"))</f>
        <v/>
      </c>
      <c r="I220" s="29">
        <f>IFERROR(INDEX(Lookups!$B$2:$B$14,MATCH(G220,Lookups!$A$2:$A$14,0)),"Not found")</f>
        <v/>
      </c>
      <c r="J220" s="29">
        <f>IFERROR(INDEX(Lookups!$E$2:$E$14,MATCH(G220,Lookups!$A$2:$A$14,0)),"")</f>
        <v/>
      </c>
      <c r="K220" s="39" t="inlineStr">
        <is>
          <t>CT</t>
        </is>
      </c>
      <c r="L220" s="29">
        <f>IF(J220="n/a","n/a",IFERROR(IF(ABS(INDEX(Lookups!$H$2:$H$5,MATCH(J220,Lookups!$G$2:$G$5,0))-INDEX(Lookups!$H$2:$H$5,MATCH(K220,Lookups!$G$2:$G$5,0)))&lt;=1,"Yes","No"),"Check"))</f>
        <v/>
      </c>
      <c r="M220" s="43" t="n">
        <v>244499.75</v>
      </c>
      <c r="N220" s="29" t="inlineStr">
        <is>
          <t>Yes</t>
        </is>
      </c>
      <c r="O220" s="39" t="n">
        <v>1</v>
      </c>
      <c r="P220" s="27" t="n"/>
      <c r="Q220" s="29">
        <f>IF(N220&lt;&gt;"Yes","n/a",IF(OR(AND(O220&lt;&gt;"",O220&gt;$W$1),P220="Y"),"Yes",IF(O220&lt;&gt;"","No","Pending")))</f>
        <v/>
      </c>
      <c r="R220" s="29" t="n"/>
      <c r="S220" s="29" t="inlineStr">
        <is>
          <t>Halena Martin</t>
        </is>
      </c>
      <c r="T220" s="29" t="inlineStr">
        <is>
          <t>State</t>
        </is>
      </c>
      <c r="U220" s="29" t="inlineStr">
        <is>
          <t>Agenda &amp; Video</t>
        </is>
      </c>
      <c r="X220" s="19" t="inlineStr">
        <is>
          <t>B</t>
        </is>
      </c>
      <c r="Y220" s="19" t="n">
        <v>47.9</v>
      </c>
      <c r="Z220" s="44" t="n">
        <v>0.875</v>
      </c>
      <c r="AA220" s="51" t="n">
        <v>0.6374</v>
      </c>
      <c r="AB220" s="48" t="n">
        <v>1</v>
      </c>
      <c r="AC220" s="19" t="inlineStr">
        <is>
          <t>Growth engine</t>
        </is>
      </c>
      <c r="AD220" s="19" t="n">
        <v>1</v>
      </c>
      <c r="AE220" s="19" t="inlineStr">
        <is>
          <t>reported</t>
        </is>
      </c>
    </row>
    <row r="221" ht="15" customHeight="1" s="20">
      <c r="A221" s="29" t="inlineStr">
        <is>
          <t>Virginia Beach, VA</t>
        </is>
      </c>
      <c r="B221" s="29" t="inlineStr">
        <is>
          <t>Virginia Beach, VA</t>
        </is>
      </c>
      <c r="C221" s="29" t="inlineStr">
        <is>
          <t>VA</t>
        </is>
      </c>
      <c r="D221" s="29" t="inlineStr">
        <is>
          <t>Local ENT</t>
        </is>
      </c>
      <c r="E221" s="29" t="inlineStr">
        <is>
          <t>Josh Gondwe</t>
        </is>
      </c>
      <c r="F221" s="29" t="inlineStr">
        <is>
          <t>Andy O'Brien</t>
        </is>
      </c>
      <c r="G221" s="39" t="inlineStr">
        <is>
          <t>Andy O'Brien</t>
        </is>
      </c>
      <c r="H221" s="29">
        <f>IF(F221="(not in WIP)","New to Enterprise",IF(F221=G221,"No","Yes"))</f>
        <v/>
      </c>
      <c r="I221" s="29">
        <f>IFERROR(INDEX(Lookups!$B$2:$B$14,MATCH(G221,Lookups!$A$2:$A$14,0)),"Not found")</f>
        <v/>
      </c>
      <c r="J221" s="29">
        <f>IFERROR(INDEX(Lookups!$E$2:$E$14,MATCH(G221,Lookups!$A$2:$A$14,0)),"")</f>
        <v/>
      </c>
      <c r="K221" s="39" t="inlineStr">
        <is>
          <t>ET</t>
        </is>
      </c>
      <c r="L221" s="29">
        <f>IF(J221="n/a","n/a",IFERROR(IF(ABS(INDEX(Lookups!$H$2:$H$5,MATCH(J221,Lookups!$G$2:$G$5,0))-INDEX(Lookups!$H$2:$H$5,MATCH(K221,Lookups!$G$2:$G$5,0)))&lt;=1,"Yes","No"),"Check"))</f>
        <v/>
      </c>
      <c r="M221" s="43" t="n">
        <v>502421.63</v>
      </c>
      <c r="N221" s="29" t="inlineStr">
        <is>
          <t>Yes</t>
        </is>
      </c>
      <c r="O221" s="39" t="n">
        <v>3</v>
      </c>
      <c r="P221" s="27" t="n"/>
      <c r="Q221" s="29">
        <f>IF(N221&lt;&gt;"Yes","n/a",IF(OR(AND(O221&lt;&gt;"",O221&gt;$W$1),P221="Y"),"Yes",IF(O221&lt;&gt;"","No","Pending")))</f>
        <v/>
      </c>
      <c r="R221" s="29" t="n"/>
      <c r="S221" s="29" t="inlineStr">
        <is>
          <t>Carolina Cambronero</t>
        </is>
      </c>
      <c r="T221" s="29" t="inlineStr">
        <is>
          <t>Local ENT</t>
        </is>
      </c>
      <c r="U221" s="29" t="inlineStr">
        <is>
          <t>Agenda &amp; Video, Public Records Request, Short-term Rentals</t>
        </is>
      </c>
      <c r="X221" s="19" t="inlineStr">
        <is>
          <t>A</t>
        </is>
      </c>
      <c r="Y221" s="19" t="n">
        <v>63.9</v>
      </c>
      <c r="Z221" s="44" t="n">
        <v>0.625</v>
      </c>
      <c r="AA221" s="51" t="n">
        <v>0.6334</v>
      </c>
      <c r="AB221" s="48" t="n">
        <v>1</v>
      </c>
      <c r="AC221" s="19" t="inlineStr">
        <is>
          <t>Growth engine</t>
        </is>
      </c>
      <c r="AD221" s="19" t="n">
        <v>1</v>
      </c>
      <c r="AE221" s="19" t="inlineStr">
        <is>
          <t>reported</t>
        </is>
      </c>
    </row>
    <row r="222" ht="15" customHeight="1" s="20">
      <c r="A222" s="29" t="inlineStr">
        <is>
          <t>Prince William County VA</t>
        </is>
      </c>
      <c r="B222" s="29" t="inlineStr">
        <is>
          <t>Prince William County VA</t>
        </is>
      </c>
      <c r="C222" s="29" t="inlineStr">
        <is>
          <t>VA</t>
        </is>
      </c>
      <c r="D222" s="29" t="inlineStr">
        <is>
          <t>Local ENT</t>
        </is>
      </c>
      <c r="E222" s="29" t="inlineStr">
        <is>
          <t>Josh Gondwe</t>
        </is>
      </c>
      <c r="F222" s="29" t="inlineStr">
        <is>
          <t>Andy O'Brien</t>
        </is>
      </c>
      <c r="G222" s="39" t="inlineStr">
        <is>
          <t>Andy O'Brien</t>
        </is>
      </c>
      <c r="H222" s="29">
        <f>IF(F222="(not in WIP)","New to Enterprise",IF(F222=G222,"No","Yes"))</f>
        <v/>
      </c>
      <c r="I222" s="29">
        <f>IFERROR(INDEX(Lookups!$B$2:$B$14,MATCH(G222,Lookups!$A$2:$A$14,0)),"Not found")</f>
        <v/>
      </c>
      <c r="J222" s="29">
        <f>IFERROR(INDEX(Lookups!$E$2:$E$14,MATCH(G222,Lookups!$A$2:$A$14,0)),"")</f>
        <v/>
      </c>
      <c r="K222" s="39" t="inlineStr">
        <is>
          <t>ET</t>
        </is>
      </c>
      <c r="L222" s="29">
        <f>IF(J222="n/a","n/a",IFERROR(IF(ABS(INDEX(Lookups!$H$2:$H$5,MATCH(J222,Lookups!$G$2:$G$5,0))-INDEX(Lookups!$H$2:$H$5,MATCH(K222,Lookups!$G$2:$G$5,0)))&lt;=1,"Yes","No"),"Check"))</f>
        <v/>
      </c>
      <c r="M222" s="43" t="n">
        <v>328705.07</v>
      </c>
      <c r="N222" s="29" t="inlineStr">
        <is>
          <t>Yes</t>
        </is>
      </c>
      <c r="O222" s="39" t="n">
        <v>4</v>
      </c>
      <c r="P222" s="27" t="n"/>
      <c r="Q222" s="29">
        <f>IF(N222&lt;&gt;"Yes","n/a",IF(OR(AND(O222&lt;&gt;"",O222&gt;$W$1),P222="Y"),"Yes",IF(O222&lt;&gt;"","No","Pending")))</f>
        <v/>
      </c>
      <c r="R222" s="29" t="n"/>
      <c r="S222" s="29" t="inlineStr">
        <is>
          <t>Steffany Amador</t>
        </is>
      </c>
      <c r="T222" s="29" t="inlineStr">
        <is>
          <t>Local ENT</t>
        </is>
      </c>
      <c r="U222" s="29" t="inlineStr">
        <is>
          <t>Agenda &amp; Video, Email &amp; SMS, Engagement &amp; Sentiment, Recurring Services</t>
        </is>
      </c>
      <c r="X222" s="19" t="inlineStr">
        <is>
          <t>A</t>
        </is>
      </c>
      <c r="Y222" s="19" t="n">
        <v>63.9</v>
      </c>
      <c r="Z222" s="44" t="n">
        <v>0.5</v>
      </c>
      <c r="AA222" s="51" t="n">
        <v>0.5834</v>
      </c>
      <c r="AB222" s="48" t="n">
        <v>1</v>
      </c>
      <c r="AC222" s="19" t="inlineStr">
        <is>
          <t>Growth engine</t>
        </is>
      </c>
      <c r="AD222" s="19" t="n">
        <v>1</v>
      </c>
      <c r="AE222" s="19" t="inlineStr">
        <is>
          <t>reported</t>
        </is>
      </c>
    </row>
    <row r="223" ht="15" customHeight="1" s="20">
      <c r="A223" s="29" t="inlineStr">
        <is>
          <t>Virginia Department of General Services</t>
        </is>
      </c>
      <c r="B223" s="29" t="inlineStr">
        <is>
          <t>Virginia Department of Public Safety</t>
        </is>
      </c>
      <c r="C223" s="29" t="inlineStr">
        <is>
          <t>VA</t>
        </is>
      </c>
      <c r="D223" s="29" t="inlineStr">
        <is>
          <t>State</t>
        </is>
      </c>
      <c r="E223" s="29" t="inlineStr">
        <is>
          <t>Grant Samson</t>
        </is>
      </c>
      <c r="F223" s="29" t="inlineStr">
        <is>
          <t>Andy O'Brien</t>
        </is>
      </c>
      <c r="G223" s="39" t="inlineStr">
        <is>
          <t>Andy O'Brien</t>
        </is>
      </c>
      <c r="H223" s="29">
        <f>IF(F223="(not in WIP)","New to Enterprise",IF(F223=G223,"No","Yes"))</f>
        <v/>
      </c>
      <c r="I223" s="29">
        <f>IFERROR(INDEX(Lookups!$B$2:$B$14,MATCH(G223,Lookups!$A$2:$A$14,0)),"Not found")</f>
        <v/>
      </c>
      <c r="J223" s="29">
        <f>IFERROR(INDEX(Lookups!$E$2:$E$14,MATCH(G223,Lookups!$A$2:$A$14,0)),"")</f>
        <v/>
      </c>
      <c r="K223" s="39" t="inlineStr">
        <is>
          <t>ET</t>
        </is>
      </c>
      <c r="L223" s="29">
        <f>IF(J223="n/a","n/a",IFERROR(IF(ABS(INDEX(Lookups!$H$2:$H$5,MATCH(J223,Lookups!$G$2:$G$5,0))-INDEX(Lookups!$H$2:$H$5,MATCH(K223,Lookups!$G$2:$G$5,0)))&lt;=1,"Yes","No"),"Check"))</f>
        <v/>
      </c>
      <c r="M223" s="43" t="n">
        <v>82353.81</v>
      </c>
      <c r="N223" s="29" t="inlineStr">
        <is>
          <t>Yes</t>
        </is>
      </c>
      <c r="O223" s="39" t="n">
        <v>3</v>
      </c>
      <c r="P223" s="27" t="n"/>
      <c r="Q223" s="29">
        <f>IF(N223&lt;&gt;"Yes","n/a",IF(OR(AND(O223&lt;&gt;"",O223&gt;$W$1),P223="Y"),"Yes",IF(O223&lt;&gt;"","No","Pending")))</f>
        <v/>
      </c>
      <c r="R223" s="29" t="n"/>
      <c r="S223" s="29" t="inlineStr">
        <is>
          <t>Brooke Minichino</t>
        </is>
      </c>
      <c r="T223" s="29" t="inlineStr">
        <is>
          <t>State</t>
        </is>
      </c>
      <c r="U223" s="29" t="inlineStr">
        <is>
          <t>Email &amp; SMS, Engagement &amp; Sentiment, Recurring Services</t>
        </is>
      </c>
      <c r="X223" s="19" t="inlineStr">
        <is>
          <t>A</t>
        </is>
      </c>
      <c r="Y223" s="19" t="n">
        <v>78.8</v>
      </c>
      <c r="Z223" s="44" t="n">
        <v>0.625</v>
      </c>
      <c r="AA223" s="51" t="n">
        <v>0.7228</v>
      </c>
      <c r="AB223" s="49" t="n">
        <v>2</v>
      </c>
      <c r="AC223" s="19" t="inlineStr">
        <is>
          <t>Expansion</t>
        </is>
      </c>
      <c r="AD223" s="19" t="n">
        <v>0.8</v>
      </c>
      <c r="AE223" s="19" t="inlineStr">
        <is>
          <t>reported</t>
        </is>
      </c>
    </row>
    <row r="224" ht="15" customHeight="1" s="20">
      <c r="A224" s="29" t="inlineStr">
        <is>
          <t>Orange County FL</t>
        </is>
      </c>
      <c r="B224" s="29" t="inlineStr">
        <is>
          <t>Orange County FL</t>
        </is>
      </c>
      <c r="C224" s="29" t="inlineStr">
        <is>
          <t>FL</t>
        </is>
      </c>
      <c r="D224" s="29" t="inlineStr">
        <is>
          <t>Local ENT</t>
        </is>
      </c>
      <c r="E224" s="29" t="inlineStr">
        <is>
          <t>Desmond Davis</t>
        </is>
      </c>
      <c r="F224" s="29" t="inlineStr">
        <is>
          <t>Carolina Cambronero</t>
        </is>
      </c>
      <c r="G224" s="39" t="inlineStr">
        <is>
          <t>Carolina Cambronero</t>
        </is>
      </c>
      <c r="H224" s="29">
        <f>IF(F224="(not in WIP)","New to Enterprise",IF(F224=G224,"No","Yes"))</f>
        <v/>
      </c>
      <c r="I224" s="29">
        <f>IFERROR(INDEX(Lookups!$B$2:$B$14,MATCH(G224,Lookups!$A$2:$A$14,0)),"Not found")</f>
        <v/>
      </c>
      <c r="J224" s="29">
        <f>IFERROR(INDEX(Lookups!$E$2:$E$14,MATCH(G224,Lookups!$A$2:$A$14,0)),"")</f>
        <v/>
      </c>
      <c r="K224" s="39" t="inlineStr">
        <is>
          <t>ET</t>
        </is>
      </c>
      <c r="L224" s="29">
        <f>IF(J224="n/a","n/a",IFERROR(IF(ABS(INDEX(Lookups!$H$2:$H$5,MATCH(J224,Lookups!$G$2:$G$5,0))-INDEX(Lookups!$H$2:$H$5,MATCH(K224,Lookups!$G$2:$G$5,0)))&lt;=1,"Yes","No"),"Check"))</f>
        <v/>
      </c>
      <c r="M224" s="43" t="n">
        <v>973617.97</v>
      </c>
      <c r="N224" s="29" t="inlineStr">
        <is>
          <t>Yes</t>
        </is>
      </c>
      <c r="O224" s="39" t="n">
        <v>5</v>
      </c>
      <c r="P224" s="27" t="n"/>
      <c r="Q224" s="29">
        <f>IF(N224&lt;&gt;"Yes","n/a",IF(OR(AND(O224&lt;&gt;"",O224&gt;$W$1),P224="Y"),"Yes",IF(O224&lt;&gt;"","No","Pending")))</f>
        <v/>
      </c>
      <c r="R224" s="29" t="inlineStr">
        <is>
          <t>Central FL (Tampa/Orlando): map does not show the North/South FL line; modeled as North</t>
        </is>
      </c>
      <c r="S224" s="29" t="inlineStr">
        <is>
          <t>Carolina Cambronero</t>
        </is>
      </c>
      <c r="T224" s="29" t="inlineStr">
        <is>
          <t>Local ENT</t>
        </is>
      </c>
      <c r="U224" s="29" t="inlineStr">
        <is>
          <t>Agenda &amp; Video, Email &amp; SMS, Engagement &amp; Sentiment, Permitting &amp; Licensing, Recurring Services</t>
        </is>
      </c>
      <c r="X224" s="19" t="inlineStr">
        <is>
          <t>B</t>
        </is>
      </c>
      <c r="Y224" s="19" t="n">
        <v>57.8</v>
      </c>
      <c r="Z224" s="44" t="n">
        <v>0.375</v>
      </c>
      <c r="AA224" s="51" t="n">
        <v>0.4968</v>
      </c>
      <c r="AB224" s="46" t="n">
        <v>3</v>
      </c>
      <c r="AC224" s="19" t="inlineStr">
        <is>
          <t>Defend</t>
        </is>
      </c>
      <c r="AD224" s="19" t="n">
        <v>0.5</v>
      </c>
      <c r="AE224" s="19" t="inlineStr">
        <is>
          <t>reported</t>
        </is>
      </c>
    </row>
    <row r="225" ht="15" customHeight="1" s="20">
      <c r="A225" s="29" t="inlineStr">
        <is>
          <t>Orlando, FL</t>
        </is>
      </c>
      <c r="B225" s="29" t="inlineStr">
        <is>
          <t>Orlando, FL</t>
        </is>
      </c>
      <c r="C225" s="29" t="inlineStr">
        <is>
          <t>FL</t>
        </is>
      </c>
      <c r="D225" s="29" t="inlineStr">
        <is>
          <t>Local ENT</t>
        </is>
      </c>
      <c r="E225" s="29" t="inlineStr">
        <is>
          <t>Desmond Davis</t>
        </is>
      </c>
      <c r="F225" s="29" t="inlineStr">
        <is>
          <t>Carolina Cambronero</t>
        </is>
      </c>
      <c r="G225" s="39" t="inlineStr">
        <is>
          <t>Carolina Cambronero</t>
        </is>
      </c>
      <c r="H225" s="29">
        <f>IF(F225="(not in WIP)","New to Enterprise",IF(F225=G225,"No","Yes"))</f>
        <v/>
      </c>
      <c r="I225" s="29">
        <f>IFERROR(INDEX(Lookups!$B$2:$B$14,MATCH(G225,Lookups!$A$2:$A$14,0)),"Not found")</f>
        <v/>
      </c>
      <c r="J225" s="29">
        <f>IFERROR(INDEX(Lookups!$E$2:$E$14,MATCH(G225,Lookups!$A$2:$A$14,0)),"")</f>
        <v/>
      </c>
      <c r="K225" s="39" t="inlineStr">
        <is>
          <t>ET</t>
        </is>
      </c>
      <c r="L225" s="29">
        <f>IF(J225="n/a","n/a",IFERROR(IF(ABS(INDEX(Lookups!$H$2:$H$5,MATCH(J225,Lookups!$G$2:$G$5,0))-INDEX(Lookups!$H$2:$H$5,MATCH(K225,Lookups!$G$2:$G$5,0)))&lt;=1,"Yes","No"),"Check"))</f>
        <v/>
      </c>
      <c r="M225" s="43" t="n">
        <v>181350.02</v>
      </c>
      <c r="N225" s="29" t="inlineStr">
        <is>
          <t>Yes</t>
        </is>
      </c>
      <c r="O225" s="39" t="n">
        <v>5</v>
      </c>
      <c r="P225" s="27" t="n"/>
      <c r="Q225" s="29">
        <f>IF(N225&lt;&gt;"Yes","n/a",IF(OR(AND(O225&lt;&gt;"",O225&gt;$W$1),P225="Y"),"Yes",IF(O225&lt;&gt;"","No","Pending")))</f>
        <v/>
      </c>
      <c r="R225" s="29" t="inlineStr">
        <is>
          <t>Central FL (Tampa/Orlando): map does not show the North/South FL line; modeled as North</t>
        </is>
      </c>
      <c r="S225" s="29" t="inlineStr">
        <is>
          <t>Carolina Cambronero</t>
        </is>
      </c>
      <c r="T225" s="29" t="inlineStr">
        <is>
          <t>Local ENT</t>
        </is>
      </c>
      <c r="U225" s="29" t="inlineStr">
        <is>
          <t>Agenda &amp; Video, Forms &amp; Workflows, Websites, Portals, &amp; Intranets, Engagement &amp; Sentiment, Experience Agents</t>
        </is>
      </c>
      <c r="X225" s="19" t="inlineStr">
        <is>
          <t>B</t>
        </is>
      </c>
      <c r="Y225" s="19" t="n">
        <v>57.8</v>
      </c>
      <c r="Z225" s="44" t="n">
        <v>0.375</v>
      </c>
      <c r="AA225" s="51" t="n">
        <v>0.4968</v>
      </c>
      <c r="AB225" s="46" t="n">
        <v>3</v>
      </c>
      <c r="AC225" s="19" t="inlineStr">
        <is>
          <t>Defend</t>
        </is>
      </c>
      <c r="AD225" s="19" t="n">
        <v>0.5</v>
      </c>
      <c r="AE225" s="19" t="inlineStr">
        <is>
          <t>reported</t>
        </is>
      </c>
    </row>
    <row r="226" ht="15" customHeight="1" s="20">
      <c r="A226" s="29" t="inlineStr">
        <is>
          <t>Hillsborough County FL</t>
        </is>
      </c>
      <c r="B226" s="29" t="inlineStr">
        <is>
          <t>Hillsborough County FL</t>
        </is>
      </c>
      <c r="C226" s="29" t="inlineStr">
        <is>
          <t>FL</t>
        </is>
      </c>
      <c r="D226" s="29" t="inlineStr">
        <is>
          <t>Local ENT</t>
        </is>
      </c>
      <c r="E226" s="29" t="inlineStr">
        <is>
          <t>Desmond Davis</t>
        </is>
      </c>
      <c r="F226" s="29" t="inlineStr">
        <is>
          <t>Carolina Cambronero</t>
        </is>
      </c>
      <c r="G226" s="39" t="inlineStr">
        <is>
          <t>Carolina Cambronero</t>
        </is>
      </c>
      <c r="H226" s="29">
        <f>IF(F226="(not in WIP)","New to Enterprise",IF(F226=G226,"No","Yes"))</f>
        <v/>
      </c>
      <c r="I226" s="29">
        <f>IFERROR(INDEX(Lookups!$B$2:$B$14,MATCH(G226,Lookups!$A$2:$A$14,0)),"Not found")</f>
        <v/>
      </c>
      <c r="J226" s="29">
        <f>IFERROR(INDEX(Lookups!$E$2:$E$14,MATCH(G226,Lookups!$A$2:$A$14,0)),"")</f>
        <v/>
      </c>
      <c r="K226" s="39" t="inlineStr">
        <is>
          <t>ET</t>
        </is>
      </c>
      <c r="L226" s="29">
        <f>IF(J226="n/a","n/a",IFERROR(IF(ABS(INDEX(Lookups!$H$2:$H$5,MATCH(J226,Lookups!$G$2:$G$5,0))-INDEX(Lookups!$H$2:$H$5,MATCH(K226,Lookups!$G$2:$G$5,0)))&lt;=1,"Yes","No"),"Check"))</f>
        <v/>
      </c>
      <c r="M226" s="43" t="n">
        <v>60043.14</v>
      </c>
      <c r="N226" s="29" t="inlineStr">
        <is>
          <t>Yes</t>
        </is>
      </c>
      <c r="O226" s="39" t="n">
        <v>1</v>
      </c>
      <c r="P226" s="27" t="n"/>
      <c r="Q226" s="29">
        <f>IF(N226&lt;&gt;"Yes","n/a",IF(OR(AND(O226&lt;&gt;"",O226&gt;$W$1),P226="Y"),"Yes",IF(O226&lt;&gt;"","No","Pending")))</f>
        <v/>
      </c>
      <c r="R226" s="29" t="inlineStr">
        <is>
          <t>Central FL (Tampa/Orlando): map does not show the North/South FL line; modeled as North</t>
        </is>
      </c>
      <c r="S226" s="29" t="inlineStr">
        <is>
          <t>Alejandro Solano</t>
        </is>
      </c>
      <c r="T226" s="29" t="inlineStr">
        <is>
          <t>Local ENT</t>
        </is>
      </c>
      <c r="U226" s="29" t="inlineStr">
        <is>
          <t>Agenda &amp; Video</t>
        </is>
      </c>
      <c r="X226" s="19" t="inlineStr">
        <is>
          <t>B</t>
        </is>
      </c>
      <c r="Y226" s="19" t="n">
        <v>57.8</v>
      </c>
      <c r="Z226" s="44" t="n">
        <v>0.875</v>
      </c>
      <c r="AA226" s="51" t="n">
        <v>0.6968</v>
      </c>
      <c r="AB226" s="49" t="n">
        <v>2</v>
      </c>
      <c r="AC226" s="19" t="inlineStr">
        <is>
          <t>Expansion</t>
        </is>
      </c>
      <c r="AD226" s="19" t="n">
        <v>0.8</v>
      </c>
      <c r="AE226" s="19" t="inlineStr">
        <is>
          <t>reported</t>
        </is>
      </c>
    </row>
    <row r="227" ht="15" customHeight="1" s="20">
      <c r="A227" s="29" t="inlineStr">
        <is>
          <t>Sarasota County/Clerk of the Circuit Court - FL</t>
        </is>
      </c>
      <c r="B227" s="29" t="inlineStr">
        <is>
          <t>Sarasota County FL</t>
        </is>
      </c>
      <c r="C227" s="29" t="inlineStr">
        <is>
          <t>FL</t>
        </is>
      </c>
      <c r="D227" s="29" t="inlineStr">
        <is>
          <t>Local ENT</t>
        </is>
      </c>
      <c r="E227" s="29" t="inlineStr">
        <is>
          <t>Desmond Davis</t>
        </is>
      </c>
      <c r="F227" s="29" t="inlineStr">
        <is>
          <t>(not in WIP)</t>
        </is>
      </c>
      <c r="G227" s="39" t="inlineStr">
        <is>
          <t>Carolina Cambronero</t>
        </is>
      </c>
      <c r="H227" s="29">
        <f>IF(F227="(not in WIP)","New to Enterprise",IF(F227=G227,"No","Yes"))</f>
        <v/>
      </c>
      <c r="I227" s="29">
        <f>IFERROR(INDEX(Lookups!$B$2:$B$14,MATCH(G227,Lookups!$A$2:$A$14,0)),"Not found")</f>
        <v/>
      </c>
      <c r="J227" s="29">
        <f>IFERROR(INDEX(Lookups!$E$2:$E$14,MATCH(G227,Lookups!$A$2:$A$14,0)),"")</f>
        <v/>
      </c>
      <c r="K227" s="39" t="inlineStr">
        <is>
          <t>ET</t>
        </is>
      </c>
      <c r="L227" s="29">
        <f>IF(J227="n/a","n/a",IFERROR(IF(ABS(INDEX(Lookups!$H$2:$H$5,MATCH(J227,Lookups!$G$2:$G$5,0))-INDEX(Lookups!$H$2:$H$5,MATCH(K227,Lookups!$G$2:$G$5,0)))&lt;=1,"Yes","No"),"Check"))</f>
        <v/>
      </c>
      <c r="M227" s="43" t="n">
        <v>57302.25</v>
      </c>
      <c r="N227" s="29" t="inlineStr">
        <is>
          <t>Yes</t>
        </is>
      </c>
      <c r="O227" s="39" t="n">
        <v>5</v>
      </c>
      <c r="P227" s="27" t="n"/>
      <c r="Q227" s="29">
        <f>IF(N227&lt;&gt;"Yes","n/a",IF(OR(AND(O227&lt;&gt;"",O227&gt;$W$1),P227="Y"),"Yes",IF(O227&lt;&gt;"","No","Pending")))</f>
        <v/>
      </c>
      <c r="R227" s="29" t="inlineStr">
        <is>
          <t>Sarasota: map does not show the North/South FL line; modeled as North with Tampa Bay</t>
        </is>
      </c>
      <c r="S227" s="29" t="inlineStr">
        <is>
          <t>Eduardo Ruiz</t>
        </is>
      </c>
      <c r="T227" s="29" t="inlineStr">
        <is>
          <t>Local ENT</t>
        </is>
      </c>
      <c r="U227" s="29" t="inlineStr">
        <is>
          <t>Email &amp; SMS, Engagement &amp; Sentiment, Forms &amp; Workflows, Recurring Services, Websites, Portals, &amp; Intranets</t>
        </is>
      </c>
      <c r="X227" s="19" t="inlineStr">
        <is>
          <t>B</t>
        </is>
      </c>
      <c r="Y227" s="19" t="n">
        <v>57.8</v>
      </c>
      <c r="Z227" s="44" t="n">
        <v>0.375</v>
      </c>
      <c r="AA227" s="51" t="n">
        <v>0.4968</v>
      </c>
      <c r="AB227" s="47" t="n">
        <v>4</v>
      </c>
      <c r="AC227" s="19" t="inlineStr">
        <is>
          <t>Maintain</t>
        </is>
      </c>
      <c r="AD227" s="19" t="n">
        <v>0.3</v>
      </c>
      <c r="AE227" s="19" t="inlineStr">
        <is>
          <t>reported</t>
        </is>
      </c>
    </row>
    <row r="228" ht="15" customHeight="1" s="20">
      <c r="A228" s="29" t="inlineStr">
        <is>
          <t>Hillsborough County FL, Environmental Protection Commission</t>
        </is>
      </c>
      <c r="B228" s="29" t="inlineStr">
        <is>
          <t>Hillsborough County FL, Environmental Protection Commission</t>
        </is>
      </c>
      <c r="C228" s="29" t="inlineStr">
        <is>
          <t>FL</t>
        </is>
      </c>
      <c r="D228" s="29" t="inlineStr">
        <is>
          <t>Local ENT</t>
        </is>
      </c>
      <c r="E228" s="29" t="inlineStr">
        <is>
          <t>Desmond Davis</t>
        </is>
      </c>
      <c r="F228" s="29" t="inlineStr">
        <is>
          <t>(not in WIP)</t>
        </is>
      </c>
      <c r="G228" s="39" t="inlineStr">
        <is>
          <t>Carolina Cambronero</t>
        </is>
      </c>
      <c r="H228" s="29">
        <f>IF(F228="(not in WIP)","New to Enterprise",IF(F228=G228,"No","Yes"))</f>
        <v/>
      </c>
      <c r="I228" s="29">
        <f>IFERROR(INDEX(Lookups!$B$2:$B$14,MATCH(G228,Lookups!$A$2:$A$14,0)),"Not found")</f>
        <v/>
      </c>
      <c r="J228" s="29">
        <f>IFERROR(INDEX(Lookups!$E$2:$E$14,MATCH(G228,Lookups!$A$2:$A$14,0)),"")</f>
        <v/>
      </c>
      <c r="K228" s="39" t="inlineStr">
        <is>
          <t>ET</t>
        </is>
      </c>
      <c r="L228" s="29">
        <f>IF(J228="n/a","n/a",IFERROR(IF(ABS(INDEX(Lookups!$H$2:$H$5,MATCH(J228,Lookups!$G$2:$G$5,0))-INDEX(Lookups!$H$2:$H$5,MATCH(K228,Lookups!$G$2:$G$5,0)))&lt;=1,"Yes","No"),"Check"))</f>
        <v/>
      </c>
      <c r="M228" s="43" t="n">
        <v>28371</v>
      </c>
      <c r="N228" s="29" t="inlineStr">
        <is>
          <t>Yes</t>
        </is>
      </c>
      <c r="O228" s="39" t="n">
        <v>5</v>
      </c>
      <c r="P228" s="27" t="n"/>
      <c r="Q228" s="29">
        <f>IF(N228&lt;&gt;"Yes","n/a",IF(OR(AND(O228&lt;&gt;"",O228&gt;$W$1),P228="Y"),"Yes",IF(O228&lt;&gt;"","No","Pending")))</f>
        <v/>
      </c>
      <c r="R228" s="29" t="inlineStr">
        <is>
          <t>Central FL (Tampa/Orlando): modeled as North</t>
        </is>
      </c>
      <c r="S228" s="29" t="inlineStr">
        <is>
          <t>Alejandro Solano</t>
        </is>
      </c>
      <c r="T228" s="29" t="inlineStr">
        <is>
          <t>Local ENT</t>
        </is>
      </c>
      <c r="U228" s="29" t="inlineStr">
        <is>
          <t>Email &amp; SMS, Engagement &amp; Sentiment, Forms &amp; Workflows, Recurring Services, Websites, Portals, &amp; Intranets</t>
        </is>
      </c>
      <c r="X228" s="19" t="inlineStr">
        <is>
          <t>B</t>
        </is>
      </c>
      <c r="Y228" s="19" t="n">
        <v>57.8</v>
      </c>
      <c r="Z228" s="44" t="n">
        <v>0.375</v>
      </c>
      <c r="AA228" s="51" t="n">
        <v>0.4968</v>
      </c>
      <c r="AB228" s="47" t="n">
        <v>4</v>
      </c>
      <c r="AC228" s="19" t="inlineStr">
        <is>
          <t>Maintain</t>
        </is>
      </c>
      <c r="AD228" s="19" t="n">
        <v>0.3</v>
      </c>
      <c r="AE228" s="19" t="inlineStr">
        <is>
          <t>reported</t>
        </is>
      </c>
    </row>
    <row r="229" ht="15" customHeight="1" s="20">
      <c r="A229" s="29" t="inlineStr">
        <is>
          <t>Florida Department of Health</t>
        </is>
      </c>
      <c r="B229" s="29" t="inlineStr">
        <is>
          <t>Florida</t>
        </is>
      </c>
      <c r="C229" s="29" t="inlineStr">
        <is>
          <t>FL</t>
        </is>
      </c>
      <c r="D229" s="29" t="inlineStr">
        <is>
          <t>State</t>
        </is>
      </c>
      <c r="E229" s="29" t="inlineStr">
        <is>
          <t>Demi Washington</t>
        </is>
      </c>
      <c r="F229" s="29" t="inlineStr">
        <is>
          <t>Carolina Cambronero</t>
        </is>
      </c>
      <c r="G229" s="39" t="inlineStr">
        <is>
          <t>Carolina Cambronero</t>
        </is>
      </c>
      <c r="H229" s="29">
        <f>IF(F229="(not in WIP)","New to Enterprise",IF(F229=G229,"No","Yes"))</f>
        <v/>
      </c>
      <c r="I229" s="29">
        <f>IFERROR(INDEX(Lookups!$B$2:$B$14,MATCH(G229,Lookups!$A$2:$A$14,0)),"Not found")</f>
        <v/>
      </c>
      <c r="J229" s="29">
        <f>IFERROR(INDEX(Lookups!$E$2:$E$14,MATCH(G229,Lookups!$A$2:$A$14,0)),"")</f>
        <v/>
      </c>
      <c r="K229" s="39" t="inlineStr">
        <is>
          <t>ET</t>
        </is>
      </c>
      <c r="L229" s="29">
        <f>IF(J229="n/a","n/a",IFERROR(IF(ABS(INDEX(Lookups!$H$2:$H$5,MATCH(J229,Lookups!$G$2:$G$5,0))-INDEX(Lookups!$H$2:$H$5,MATCH(K229,Lookups!$G$2:$G$5,0)))&lt;=1,"Yes","No"),"Check"))</f>
        <v/>
      </c>
      <c r="M229" s="43" t="n">
        <v>249098.5</v>
      </c>
      <c r="N229" s="29" t="inlineStr">
        <is>
          <t>Yes</t>
        </is>
      </c>
      <c r="O229" s="39" t="n">
        <v>4</v>
      </c>
      <c r="P229" s="27" t="n"/>
      <c r="Q229" s="29">
        <f>IF(N229&lt;&gt;"Yes","n/a",IF(OR(AND(O229&lt;&gt;"",O229&gt;$W$1),P229="Y"),"Yes",IF(O229&lt;&gt;"","No","Pending")))</f>
        <v/>
      </c>
      <c r="R229" s="29" t="n"/>
      <c r="S229" s="29" t="inlineStr">
        <is>
          <t>Taylor Roman</t>
        </is>
      </c>
      <c r="T229" s="29" t="inlineStr">
        <is>
          <t>State</t>
        </is>
      </c>
      <c r="U229" s="29" t="inlineStr">
        <is>
          <t>Email &amp; SMS, Engagement &amp; Sentiment, Public Records Request, Recurring Services</t>
        </is>
      </c>
      <c r="X229" s="19" t="inlineStr">
        <is>
          <t>A</t>
        </is>
      </c>
      <c r="Y229" s="19" t="n">
        <v>62</v>
      </c>
      <c r="Z229" s="44" t="n">
        <v>0.5</v>
      </c>
      <c r="AA229" s="51" t="n">
        <v>0.572</v>
      </c>
      <c r="AB229" s="46" t="n">
        <v>3</v>
      </c>
      <c r="AC229" s="19" t="inlineStr">
        <is>
          <t>Defend</t>
        </is>
      </c>
      <c r="AD229" s="19" t="n">
        <v>0.5</v>
      </c>
      <c r="AE229" s="19" t="inlineStr">
        <is>
          <t>reported</t>
        </is>
      </c>
    </row>
    <row r="230" ht="15" customHeight="1" s="20">
      <c r="A230" s="29" t="inlineStr">
        <is>
          <t>Florida Department of Law Enforcement</t>
        </is>
      </c>
      <c r="B230" s="29" t="inlineStr">
        <is>
          <t>Florida</t>
        </is>
      </c>
      <c r="C230" s="29" t="inlineStr">
        <is>
          <t>FL</t>
        </is>
      </c>
      <c r="D230" s="29" t="inlineStr">
        <is>
          <t>State</t>
        </is>
      </c>
      <c r="E230" s="29" t="inlineStr">
        <is>
          <t>Demi Washington</t>
        </is>
      </c>
      <c r="F230" s="29" t="inlineStr">
        <is>
          <t>Carolina Cambronero</t>
        </is>
      </c>
      <c r="G230" s="39" t="inlineStr">
        <is>
          <t>Carolina Cambronero</t>
        </is>
      </c>
      <c r="H230" s="29">
        <f>IF(F230="(not in WIP)","New to Enterprise",IF(F230=G230,"No","Yes"))</f>
        <v/>
      </c>
      <c r="I230" s="29">
        <f>IFERROR(INDEX(Lookups!$B$2:$B$14,MATCH(G230,Lookups!$A$2:$A$14,0)),"Not found")</f>
        <v/>
      </c>
      <c r="J230" s="29">
        <f>IFERROR(INDEX(Lookups!$E$2:$E$14,MATCH(G230,Lookups!$A$2:$A$14,0)),"")</f>
        <v/>
      </c>
      <c r="K230" s="39" t="inlineStr">
        <is>
          <t>ET</t>
        </is>
      </c>
      <c r="L230" s="29">
        <f>IF(J230="n/a","n/a",IFERROR(IF(ABS(INDEX(Lookups!$H$2:$H$5,MATCH(J230,Lookups!$G$2:$G$5,0))-INDEX(Lookups!$H$2:$H$5,MATCH(K230,Lookups!$G$2:$G$5,0)))&lt;=1,"Yes","No"),"Check"))</f>
        <v/>
      </c>
      <c r="M230" s="43" t="n">
        <v>165620.79</v>
      </c>
      <c r="N230" s="29" t="inlineStr">
        <is>
          <t>Yes</t>
        </is>
      </c>
      <c r="O230" s="39" t="n">
        <v>5</v>
      </c>
      <c r="P230" s="27" t="n"/>
      <c r="Q230" s="29">
        <f>IF(N230&lt;&gt;"Yes","n/a",IF(OR(AND(O230&lt;&gt;"",O230&gt;$W$1),P230="Y"),"Yes",IF(O230&lt;&gt;"","No","Pending")))</f>
        <v/>
      </c>
      <c r="R230" s="29" t="n"/>
      <c r="S230" s="29" t="inlineStr">
        <is>
          <t>Brooke Minichino</t>
        </is>
      </c>
      <c r="T230" s="29" t="inlineStr">
        <is>
          <t>State</t>
        </is>
      </c>
      <c r="U230" s="29" t="inlineStr">
        <is>
          <t>Email &amp; SMS, Engagement &amp; Sentiment, Forms &amp; Workflows, Recurring Services, Websites, Portals, &amp; Intranets</t>
        </is>
      </c>
      <c r="X230" s="19" t="inlineStr">
        <is>
          <t>A</t>
        </is>
      </c>
      <c r="Y230" s="19" t="n">
        <v>62</v>
      </c>
      <c r="Z230" s="44" t="n">
        <v>0.375</v>
      </c>
      <c r="AA230" s="51" t="n">
        <v>0.522</v>
      </c>
      <c r="AB230" s="46" t="n">
        <v>3</v>
      </c>
      <c r="AC230" s="19" t="inlineStr">
        <is>
          <t>Defend</t>
        </is>
      </c>
      <c r="AD230" s="19" t="n">
        <v>0.5</v>
      </c>
      <c r="AE230" s="19" t="inlineStr">
        <is>
          <t>reported</t>
        </is>
      </c>
    </row>
    <row r="231" ht="15" customHeight="1" s="20">
      <c r="A231" s="29" t="inlineStr">
        <is>
          <t>Florida Department of Corrections - Public Records</t>
        </is>
      </c>
      <c r="B231" s="29" t="inlineStr">
        <is>
          <t>Florida</t>
        </is>
      </c>
      <c r="C231" s="29" t="inlineStr">
        <is>
          <t>FL</t>
        </is>
      </c>
      <c r="D231" s="29" t="inlineStr">
        <is>
          <t>State</t>
        </is>
      </c>
      <c r="E231" s="29" t="inlineStr">
        <is>
          <t>Demi Washington</t>
        </is>
      </c>
      <c r="F231" s="29" t="inlineStr">
        <is>
          <t>Carolina Cambronero</t>
        </is>
      </c>
      <c r="G231" s="39" t="inlineStr">
        <is>
          <t>Carolina Cambronero</t>
        </is>
      </c>
      <c r="H231" s="29">
        <f>IF(F231="(not in WIP)","New to Enterprise",IF(F231=G231,"No","Yes"))</f>
        <v/>
      </c>
      <c r="I231" s="29">
        <f>IFERROR(INDEX(Lookups!$B$2:$B$14,MATCH(G231,Lookups!$A$2:$A$14,0)),"Not found")</f>
        <v/>
      </c>
      <c r="J231" s="29">
        <f>IFERROR(INDEX(Lookups!$E$2:$E$14,MATCH(G231,Lookups!$A$2:$A$14,0)),"")</f>
        <v/>
      </c>
      <c r="K231" s="39" t="inlineStr">
        <is>
          <t>ET</t>
        </is>
      </c>
      <c r="L231" s="29">
        <f>IF(J231="n/a","n/a",IFERROR(IF(ABS(INDEX(Lookups!$H$2:$H$5,MATCH(J231,Lookups!$G$2:$G$5,0))-INDEX(Lookups!$H$2:$H$5,MATCH(K231,Lookups!$G$2:$G$5,0)))&lt;=1,"Yes","No"),"Check"))</f>
        <v/>
      </c>
      <c r="M231" s="43" t="n">
        <v>90628.87</v>
      </c>
      <c r="N231" s="29" t="inlineStr">
        <is>
          <t>Yes</t>
        </is>
      </c>
      <c r="O231" s="39" t="n">
        <v>0</v>
      </c>
      <c r="P231" s="27" t="n"/>
      <c r="Q231" s="29">
        <f>IF(N231&lt;&gt;"Yes","n/a",IF(OR(AND(O231&lt;&gt;"",O231&gt;$W$1),P231="Y"),"Yes",IF(O231&lt;&gt;"","No","Pending")))</f>
        <v/>
      </c>
      <c r="R231" s="29" t="n"/>
      <c r="S231" s="29" t="inlineStr">
        <is>
          <t>Andy O'Brien</t>
        </is>
      </c>
      <c r="T231" s="29" t="inlineStr">
        <is>
          <t>State</t>
        </is>
      </c>
      <c r="U231" s="29" t="n"/>
      <c r="X231" s="19" t="inlineStr">
        <is>
          <t>A</t>
        </is>
      </c>
      <c r="Y231" s="19" t="n">
        <v>62</v>
      </c>
      <c r="Z231" s="44" t="n">
        <v>0.75</v>
      </c>
      <c r="AA231" s="51" t="n">
        <v>0.672</v>
      </c>
      <c r="AB231" s="49" t="n">
        <v>2</v>
      </c>
      <c r="AC231" s="19" t="inlineStr">
        <is>
          <t>Expansion</t>
        </is>
      </c>
      <c r="AD231" s="19" t="n">
        <v>0.8</v>
      </c>
      <c r="AE231" s="19" t="inlineStr">
        <is>
          <t>imputed</t>
        </is>
      </c>
    </row>
    <row r="232" ht="15" customHeight="1" s="20">
      <c r="A232" s="29" t="inlineStr">
        <is>
          <t>Florida Department of Corrections</t>
        </is>
      </c>
      <c r="B232" s="29" t="inlineStr">
        <is>
          <t>Florida</t>
        </is>
      </c>
      <c r="C232" s="29" t="inlineStr">
        <is>
          <t>FL</t>
        </is>
      </c>
      <c r="D232" s="29" t="inlineStr">
        <is>
          <t>State</t>
        </is>
      </c>
      <c r="E232" s="29" t="inlineStr">
        <is>
          <t>Demi Washington</t>
        </is>
      </c>
      <c r="F232" s="29" t="inlineStr">
        <is>
          <t>Carolina Cambronero</t>
        </is>
      </c>
      <c r="G232" s="39" t="inlineStr">
        <is>
          <t>Carolina Cambronero</t>
        </is>
      </c>
      <c r="H232" s="29">
        <f>IF(F232="(not in WIP)","New to Enterprise",IF(F232=G232,"No","Yes"))</f>
        <v/>
      </c>
      <c r="I232" s="29">
        <f>IFERROR(INDEX(Lookups!$B$2:$B$14,MATCH(G232,Lookups!$A$2:$A$14,0)),"Not found")</f>
        <v/>
      </c>
      <c r="J232" s="29">
        <f>IFERROR(INDEX(Lookups!$E$2:$E$14,MATCH(G232,Lookups!$A$2:$A$14,0)),"")</f>
        <v/>
      </c>
      <c r="K232" s="39" t="inlineStr">
        <is>
          <t>ET</t>
        </is>
      </c>
      <c r="L232" s="29">
        <f>IF(J232="n/a","n/a",IFERROR(IF(ABS(INDEX(Lookups!$H$2:$H$5,MATCH(J232,Lookups!$G$2:$G$5,0))-INDEX(Lookups!$H$2:$H$5,MATCH(K232,Lookups!$G$2:$G$5,0)))&lt;=1,"Yes","No"),"Check"))</f>
        <v/>
      </c>
      <c r="M232" s="43" t="n">
        <v>0</v>
      </c>
      <c r="N232" s="29" t="inlineStr">
        <is>
          <t>Yes</t>
        </is>
      </c>
      <c r="O232" s="39" t="n">
        <v>0</v>
      </c>
      <c r="P232" s="27" t="n"/>
      <c r="Q232" s="29">
        <f>IF(N232&lt;&gt;"Yes","n/a",IF(OR(AND(O232&lt;&gt;"",O232&gt;$W$1),P232="Y"),"Yes",IF(O232&lt;&gt;"","No","Pending")))</f>
        <v/>
      </c>
      <c r="R232" s="29" t="n"/>
      <c r="S232" s="29" t="inlineStr">
        <is>
          <t>Andy O'Brien</t>
        </is>
      </c>
      <c r="T232" s="29" t="inlineStr">
        <is>
          <t>State</t>
        </is>
      </c>
      <c r="U232" s="29" t="n"/>
      <c r="X232" s="19" t="inlineStr">
        <is>
          <t>A</t>
        </is>
      </c>
      <c r="Y232" s="19" t="n">
        <v>62</v>
      </c>
      <c r="Z232" s="44" t="n">
        <v>0.75</v>
      </c>
      <c r="AA232" s="51" t="n">
        <v>0.672</v>
      </c>
      <c r="AB232" s="49" t="n">
        <v>2</v>
      </c>
      <c r="AC232" s="19" t="inlineStr">
        <is>
          <t>Expansion</t>
        </is>
      </c>
      <c r="AD232" s="19" t="n">
        <v>0.8</v>
      </c>
      <c r="AE232" s="19" t="inlineStr">
        <is>
          <t>imputed</t>
        </is>
      </c>
    </row>
    <row r="233" ht="15" customHeight="1" s="20">
      <c r="A233" s="29" t="inlineStr">
        <is>
          <t>Louisiana Governor's Office of Homeland Security &amp; Emergency Preparedness</t>
        </is>
      </c>
      <c r="B233" s="29" t="inlineStr">
        <is>
          <t>Louisiana</t>
        </is>
      </c>
      <c r="C233" s="29" t="inlineStr">
        <is>
          <t>LA</t>
        </is>
      </c>
      <c r="D233" s="29" t="inlineStr">
        <is>
          <t>State</t>
        </is>
      </c>
      <c r="E233" s="29" t="inlineStr">
        <is>
          <t>Demi Washington</t>
        </is>
      </c>
      <c r="F233" s="29" t="inlineStr">
        <is>
          <t>Alejandro Solano</t>
        </is>
      </c>
      <c r="G233" s="39" t="inlineStr">
        <is>
          <t>Carolina Cambronero</t>
        </is>
      </c>
      <c r="H233" s="29">
        <f>IF(F233="(not in WIP)","New to Enterprise",IF(F233=G233,"No","Yes"))</f>
        <v/>
      </c>
      <c r="I233" s="29">
        <f>IFERROR(INDEX(Lookups!$B$2:$B$14,MATCH(G233,Lookups!$A$2:$A$14,0)),"Not found")</f>
        <v/>
      </c>
      <c r="J233" s="29">
        <f>IFERROR(INDEX(Lookups!$E$2:$E$14,MATCH(G233,Lookups!$A$2:$A$14,0)),"")</f>
        <v/>
      </c>
      <c r="K233" s="39" t="inlineStr">
        <is>
          <t>CT</t>
        </is>
      </c>
      <c r="L233" s="29">
        <f>IF(J233="n/a","n/a",IFERROR(IF(ABS(INDEX(Lookups!$H$2:$H$5,MATCH(J233,Lookups!$G$2:$G$5,0))-INDEX(Lookups!$H$2:$H$5,MATCH(K233,Lookups!$G$2:$G$5,0)))&lt;=1,"Yes","No"),"Check"))</f>
        <v/>
      </c>
      <c r="M233" s="43" t="n">
        <v>86134.27</v>
      </c>
      <c r="N233" s="29" t="inlineStr">
        <is>
          <t>Yes</t>
        </is>
      </c>
      <c r="O233" s="39" t="n">
        <v>3</v>
      </c>
      <c r="P233" s="27" t="n"/>
      <c r="Q233" s="29">
        <f>IF(N233&lt;&gt;"Yes","n/a",IF(OR(AND(O233&lt;&gt;"",O233&gt;$W$1),P233="Y"),"Yes",IF(O233&lt;&gt;"","No","Pending")))</f>
        <v/>
      </c>
      <c r="R233" s="29" t="n"/>
      <c r="S233" s="29" t="inlineStr">
        <is>
          <t>Kerrian Dailey</t>
        </is>
      </c>
      <c r="T233" s="29" t="inlineStr">
        <is>
          <t>State</t>
        </is>
      </c>
      <c r="U233" s="29" t="inlineStr">
        <is>
          <t>Email &amp; SMS, Engagement &amp; Sentiment, Recurring Services</t>
        </is>
      </c>
      <c r="X233" s="19" t="inlineStr">
        <is>
          <t>C</t>
        </is>
      </c>
      <c r="Y233" s="19" t="n">
        <v>45.9</v>
      </c>
      <c r="Z233" s="44" t="n">
        <v>0.625</v>
      </c>
      <c r="AA233" s="51" t="n">
        <v>0.5254</v>
      </c>
      <c r="AB233" s="47" t="n">
        <v>4</v>
      </c>
      <c r="AC233" s="19" t="inlineStr">
        <is>
          <t>Maintain</t>
        </is>
      </c>
      <c r="AD233" s="19" t="n">
        <v>0.3</v>
      </c>
      <c r="AE233" s="19" t="inlineStr">
        <is>
          <t>reported</t>
        </is>
      </c>
    </row>
    <row r="234" ht="15" customHeight="1" s="20">
      <c r="A234" s="29" t="inlineStr">
        <is>
          <t>Louisiana Department of Health</t>
        </is>
      </c>
      <c r="B234" s="29" t="inlineStr">
        <is>
          <t>Louisiana</t>
        </is>
      </c>
      <c r="C234" s="29" t="inlineStr">
        <is>
          <t>LA</t>
        </is>
      </c>
      <c r="D234" s="29" t="inlineStr">
        <is>
          <t>State</t>
        </is>
      </c>
      <c r="E234" s="29" t="inlineStr">
        <is>
          <t>Demi Washington</t>
        </is>
      </c>
      <c r="F234" s="29" t="inlineStr">
        <is>
          <t>Alejandro Solano</t>
        </is>
      </c>
      <c r="G234" s="39" t="inlineStr">
        <is>
          <t>Carolina Cambronero</t>
        </is>
      </c>
      <c r="H234" s="29">
        <f>IF(F234="(not in WIP)","New to Enterprise",IF(F234=G234,"No","Yes"))</f>
        <v/>
      </c>
      <c r="I234" s="29">
        <f>IFERROR(INDEX(Lookups!$B$2:$B$14,MATCH(G234,Lookups!$A$2:$A$14,0)),"Not found")</f>
        <v/>
      </c>
      <c r="J234" s="29">
        <f>IFERROR(INDEX(Lookups!$E$2:$E$14,MATCH(G234,Lookups!$A$2:$A$14,0)),"")</f>
        <v/>
      </c>
      <c r="K234" s="39" t="inlineStr">
        <is>
          <t>CT</t>
        </is>
      </c>
      <c r="L234" s="29">
        <f>IF(J234="n/a","n/a",IFERROR(IF(ABS(INDEX(Lookups!$H$2:$H$5,MATCH(J234,Lookups!$G$2:$G$5,0))-INDEX(Lookups!$H$2:$H$5,MATCH(K234,Lookups!$G$2:$G$5,0)))&lt;=1,"Yes","No"),"Check"))</f>
        <v/>
      </c>
      <c r="M234" s="43" t="n">
        <v>50147.46</v>
      </c>
      <c r="N234" s="29" t="inlineStr">
        <is>
          <t>Yes</t>
        </is>
      </c>
      <c r="O234" s="39" t="n">
        <v>1</v>
      </c>
      <c r="P234" s="27" t="n"/>
      <c r="Q234" s="29">
        <f>IF(N234&lt;&gt;"Yes","n/a",IF(OR(AND(O234&lt;&gt;"",O234&gt;$W$1),P234="Y"),"Yes",IF(O234&lt;&gt;"","No","Pending")))</f>
        <v/>
      </c>
      <c r="R234" s="29" t="n"/>
      <c r="S234" s="29" t="inlineStr">
        <is>
          <t>Taylor Roman</t>
        </is>
      </c>
      <c r="T234" s="29" t="inlineStr">
        <is>
          <t>State</t>
        </is>
      </c>
      <c r="U234" s="29" t="inlineStr">
        <is>
          <t>Public Records Request</t>
        </is>
      </c>
      <c r="X234" s="19" t="inlineStr">
        <is>
          <t>C</t>
        </is>
      </c>
      <c r="Y234" s="19" t="n">
        <v>45.9</v>
      </c>
      <c r="Z234" s="44" t="n">
        <v>0.875</v>
      </c>
      <c r="AA234" s="51" t="n">
        <v>0.6254</v>
      </c>
      <c r="AB234" s="49" t="n">
        <v>2</v>
      </c>
      <c r="AC234" s="19" t="inlineStr">
        <is>
          <t>Expansion</t>
        </is>
      </c>
      <c r="AD234" s="19" t="n">
        <v>0.8</v>
      </c>
      <c r="AE234" s="19" t="inlineStr">
        <is>
          <t>reported</t>
        </is>
      </c>
    </row>
    <row r="235" ht="15" customHeight="1" s="20">
      <c r="A235" s="29" t="inlineStr">
        <is>
          <t>Louisiana Attorney General (Justice Department)</t>
        </is>
      </c>
      <c r="B235" s="29" t="inlineStr">
        <is>
          <t>Louisiana</t>
        </is>
      </c>
      <c r="C235" s="29" t="inlineStr">
        <is>
          <t>LA</t>
        </is>
      </c>
      <c r="D235" s="29" t="inlineStr">
        <is>
          <t>State</t>
        </is>
      </c>
      <c r="E235" s="29" t="inlineStr">
        <is>
          <t>Demi Washington</t>
        </is>
      </c>
      <c r="F235" s="29" t="inlineStr">
        <is>
          <t>Alejandro Solano</t>
        </is>
      </c>
      <c r="G235" s="39" t="inlineStr">
        <is>
          <t>Carolina Cambronero</t>
        </is>
      </c>
      <c r="H235" s="29">
        <f>IF(F235="(not in WIP)","New to Enterprise",IF(F235=G235,"No","Yes"))</f>
        <v/>
      </c>
      <c r="I235" s="29">
        <f>IFERROR(INDEX(Lookups!$B$2:$B$14,MATCH(G235,Lookups!$A$2:$A$14,0)),"Not found")</f>
        <v/>
      </c>
      <c r="J235" s="29">
        <f>IFERROR(INDEX(Lookups!$E$2:$E$14,MATCH(G235,Lookups!$A$2:$A$14,0)),"")</f>
        <v/>
      </c>
      <c r="K235" s="39" t="inlineStr">
        <is>
          <t>CT</t>
        </is>
      </c>
      <c r="L235" s="29">
        <f>IF(J235="n/a","n/a",IFERROR(IF(ABS(INDEX(Lookups!$H$2:$H$5,MATCH(J235,Lookups!$G$2:$G$5,0))-INDEX(Lookups!$H$2:$H$5,MATCH(K235,Lookups!$G$2:$G$5,0)))&lt;=1,"Yes","No"),"Check"))</f>
        <v/>
      </c>
      <c r="M235" s="43" t="n">
        <v>22628.95</v>
      </c>
      <c r="N235" s="29" t="inlineStr">
        <is>
          <t>Yes</t>
        </is>
      </c>
      <c r="O235" s="39" t="n">
        <v>0</v>
      </c>
      <c r="P235" s="27" t="n"/>
      <c r="Q235" s="29">
        <f>IF(N235&lt;&gt;"Yes","n/a",IF(OR(AND(O235&lt;&gt;"",O235&gt;$W$1),P235="Y"),"Yes",IF(O235&lt;&gt;"","No","Pending")))</f>
        <v/>
      </c>
      <c r="R235" s="29" t="n"/>
      <c r="S235" s="29" t="inlineStr">
        <is>
          <t>Alejandro Solano</t>
        </is>
      </c>
      <c r="T235" s="29" t="inlineStr">
        <is>
          <t>State</t>
        </is>
      </c>
      <c r="U235" s="29" t="n"/>
      <c r="X235" s="19" t="inlineStr">
        <is>
          <t>C</t>
        </is>
      </c>
      <c r="Y235" s="19" t="n">
        <v>45.9</v>
      </c>
      <c r="Z235" s="44" t="n">
        <v>0.75</v>
      </c>
      <c r="AA235" s="51" t="n">
        <v>0.5754</v>
      </c>
      <c r="AB235" s="47" t="n">
        <v>4</v>
      </c>
      <c r="AC235" s="19" t="inlineStr">
        <is>
          <t>Maintain</t>
        </is>
      </c>
      <c r="AD235" s="19" t="n">
        <v>0.3</v>
      </c>
      <c r="AE235" s="19" t="inlineStr">
        <is>
          <t>imputed</t>
        </is>
      </c>
    </row>
    <row r="236" ht="15" customHeight="1" s="20">
      <c r="A236" s="29" t="inlineStr">
        <is>
          <t>Harris County TX - Universal Services</t>
        </is>
      </c>
      <c r="B236" s="29" t="inlineStr">
        <is>
          <t>Harris County, TX Engineering Department</t>
        </is>
      </c>
      <c r="C236" s="29" t="inlineStr">
        <is>
          <t>TX</t>
        </is>
      </c>
      <c r="D236" s="29" t="inlineStr">
        <is>
          <t>Local ENT</t>
        </is>
      </c>
      <c r="E236" s="29" t="inlineStr">
        <is>
          <t>Pete Redondo</t>
        </is>
      </c>
      <c r="F236" s="29" t="inlineStr">
        <is>
          <t>Taylor Roman</t>
        </is>
      </c>
      <c r="G236" s="39" t="inlineStr">
        <is>
          <t>Carolina Cambronero</t>
        </is>
      </c>
      <c r="H236" s="29">
        <f>IF(F236="(not in WIP)","New to Enterprise",IF(F236=G236,"No","Yes"))</f>
        <v/>
      </c>
      <c r="I236" s="29">
        <f>IFERROR(INDEX(Lookups!$B$2:$B$14,MATCH(G236,Lookups!$A$2:$A$14,0)),"Not found")</f>
        <v/>
      </c>
      <c r="J236" s="29">
        <f>IFERROR(INDEX(Lookups!$E$2:$E$14,MATCH(G236,Lookups!$A$2:$A$14,0)),"")</f>
        <v/>
      </c>
      <c r="K236" s="39" t="inlineStr">
        <is>
          <t>CT</t>
        </is>
      </c>
      <c r="L236" s="29">
        <f>IF(J236="n/a","n/a",IFERROR(IF(ABS(INDEX(Lookups!$H$2:$H$5,MATCH(J236,Lookups!$G$2:$G$5,0))-INDEX(Lookups!$H$2:$H$5,MATCH(K236,Lookups!$G$2:$G$5,0)))&lt;=1,"Yes","No"),"Check"))</f>
        <v/>
      </c>
      <c r="M236" s="43" t="n">
        <v>589580.62</v>
      </c>
      <c r="N236" s="29" t="inlineStr">
        <is>
          <t>Yes</t>
        </is>
      </c>
      <c r="O236" s="39" t="n">
        <v>2</v>
      </c>
      <c r="P236" s="27" t="n"/>
      <c r="Q236" s="29">
        <f>IF(N236&lt;&gt;"Yes","n/a",IF(OR(AND(O236&lt;&gt;"",O236&gt;$W$1),P236="Y"),"Yes",IF(O236&lt;&gt;"","No","Pending")))</f>
        <v/>
      </c>
      <c r="R236" s="29" t="n"/>
      <c r="S236" s="29" t="inlineStr">
        <is>
          <t>Taylor Roman</t>
        </is>
      </c>
      <c r="T236" s="29" t="inlineStr">
        <is>
          <t>Local ENT</t>
        </is>
      </c>
      <c r="U236" s="29" t="inlineStr">
        <is>
          <t>Agenda &amp; Video, Public Records Request</t>
        </is>
      </c>
      <c r="X236" s="19" t="inlineStr">
        <is>
          <t>A</t>
        </is>
      </c>
      <c r="Y236" s="19" t="n">
        <v>63.1</v>
      </c>
      <c r="Z236" s="44" t="n">
        <v>0.75</v>
      </c>
      <c r="AA236" s="51" t="n">
        <v>0.6786</v>
      </c>
      <c r="AB236" s="48" t="n">
        <v>1</v>
      </c>
      <c r="AC236" s="19" t="inlineStr">
        <is>
          <t>Growth engine</t>
        </is>
      </c>
      <c r="AD236" s="19" t="n">
        <v>1</v>
      </c>
      <c r="AE236" s="19" t="inlineStr">
        <is>
          <t>reported</t>
        </is>
      </c>
    </row>
    <row r="237" ht="15" customHeight="1" s="20">
      <c r="A237" s="29" t="inlineStr">
        <is>
          <t>Corpus Christi, TX</t>
        </is>
      </c>
      <c r="B237" s="29" t="inlineStr">
        <is>
          <t>Corpus Christi, TX</t>
        </is>
      </c>
      <c r="C237" s="29" t="inlineStr">
        <is>
          <t>TX</t>
        </is>
      </c>
      <c r="D237" s="29" t="inlineStr">
        <is>
          <t>Local ENT</t>
        </is>
      </c>
      <c r="E237" s="29" t="inlineStr">
        <is>
          <t>Pete Redondo</t>
        </is>
      </c>
      <c r="F237" s="29" t="inlineStr">
        <is>
          <t>Taylor Roman</t>
        </is>
      </c>
      <c r="G237" s="39" t="inlineStr">
        <is>
          <t>Carolina Cambronero</t>
        </is>
      </c>
      <c r="H237" s="29">
        <f>IF(F237="(not in WIP)","New to Enterprise",IF(F237=G237,"No","Yes"))</f>
        <v/>
      </c>
      <c r="I237" s="29">
        <f>IFERROR(INDEX(Lookups!$B$2:$B$14,MATCH(G237,Lookups!$A$2:$A$14,0)),"Not found")</f>
        <v/>
      </c>
      <c r="J237" s="29">
        <f>IFERROR(INDEX(Lookups!$E$2:$E$14,MATCH(G237,Lookups!$A$2:$A$14,0)),"")</f>
        <v/>
      </c>
      <c r="K237" s="39" t="inlineStr">
        <is>
          <t>CT</t>
        </is>
      </c>
      <c r="L237" s="29">
        <f>IF(J237="n/a","n/a",IFERROR(IF(ABS(INDEX(Lookups!$H$2:$H$5,MATCH(J237,Lookups!$G$2:$G$5,0))-INDEX(Lookups!$H$2:$H$5,MATCH(K237,Lookups!$G$2:$G$5,0)))&lt;=1,"Yes","No"),"Check"))</f>
        <v/>
      </c>
      <c r="M237" s="43" t="n">
        <v>288093.36</v>
      </c>
      <c r="N237" s="29" t="inlineStr">
        <is>
          <t>Yes</t>
        </is>
      </c>
      <c r="O237" s="39" t="n">
        <v>6</v>
      </c>
      <c r="P237" s="27" t="n"/>
      <c r="Q237" s="29">
        <f>IF(N237&lt;&gt;"Yes","n/a",IF(OR(AND(O237&lt;&gt;"",O237&gt;$W$1),P237="Y"),"Yes",IF(O237&lt;&gt;"","No","Pending")))</f>
        <v/>
      </c>
      <c r="R237" s="29" t="n"/>
      <c r="S237" s="29" t="inlineStr">
        <is>
          <t>Carolina Cambronero</t>
        </is>
      </c>
      <c r="T237" s="29" t="inlineStr">
        <is>
          <t>Local ENT</t>
        </is>
      </c>
      <c r="U237" s="29" t="inlineStr">
        <is>
          <t>Agenda &amp; Video, Email &amp; SMS, Engagement &amp; Sentiment, Public Records Request, Recurring Services, Service Request Management</t>
        </is>
      </c>
      <c r="X237" s="19" t="inlineStr">
        <is>
          <t>A</t>
        </is>
      </c>
      <c r="Y237" s="19" t="n">
        <v>63.1</v>
      </c>
      <c r="Z237" s="44" t="n">
        <v>0.25</v>
      </c>
      <c r="AA237" s="51" t="n">
        <v>0.4786</v>
      </c>
      <c r="AB237" s="46" t="n">
        <v>3</v>
      </c>
      <c r="AC237" s="19" t="inlineStr">
        <is>
          <t>Defend</t>
        </is>
      </c>
      <c r="AD237" s="19" t="n">
        <v>0.5</v>
      </c>
      <c r="AE237" s="19" t="inlineStr">
        <is>
          <t>reported</t>
        </is>
      </c>
    </row>
    <row r="238" ht="15" customHeight="1" s="20">
      <c r="A238" s="29" t="inlineStr">
        <is>
          <t>Laredo, TX</t>
        </is>
      </c>
      <c r="B238" s="29" t="inlineStr">
        <is>
          <t>Laredo, TX</t>
        </is>
      </c>
      <c r="C238" s="29" t="inlineStr">
        <is>
          <t>TX</t>
        </is>
      </c>
      <c r="D238" s="29" t="inlineStr">
        <is>
          <t>Local ENT</t>
        </is>
      </c>
      <c r="E238" s="29" t="inlineStr">
        <is>
          <t>Pete Redondo</t>
        </is>
      </c>
      <c r="F238" s="29" t="inlineStr">
        <is>
          <t>Taylor Roman</t>
        </is>
      </c>
      <c r="G238" s="39" t="inlineStr">
        <is>
          <t>Carolina Cambronero</t>
        </is>
      </c>
      <c r="H238" s="29">
        <f>IF(F238="(not in WIP)","New to Enterprise",IF(F238=G238,"No","Yes"))</f>
        <v/>
      </c>
      <c r="I238" s="29">
        <f>IFERROR(INDEX(Lookups!$B$2:$B$14,MATCH(G238,Lookups!$A$2:$A$14,0)),"Not found")</f>
        <v/>
      </c>
      <c r="J238" s="29">
        <f>IFERROR(INDEX(Lookups!$E$2:$E$14,MATCH(G238,Lookups!$A$2:$A$14,0)),"")</f>
        <v/>
      </c>
      <c r="K238" s="39" t="inlineStr">
        <is>
          <t>CT</t>
        </is>
      </c>
      <c r="L238" s="29">
        <f>IF(J238="n/a","n/a",IFERROR(IF(ABS(INDEX(Lookups!$H$2:$H$5,MATCH(J238,Lookups!$G$2:$G$5,0))-INDEX(Lookups!$H$2:$H$5,MATCH(K238,Lookups!$G$2:$G$5,0)))&lt;=1,"Yes","No"),"Check"))</f>
        <v/>
      </c>
      <c r="M238" s="43" t="n">
        <v>207802.91</v>
      </c>
      <c r="N238" s="29" t="inlineStr">
        <is>
          <t>Yes</t>
        </is>
      </c>
      <c r="O238" s="39" t="n">
        <v>9</v>
      </c>
      <c r="P238" s="27" t="n"/>
      <c r="Q238" s="29">
        <f>IF(N238&lt;&gt;"Yes","n/a",IF(OR(AND(O238&lt;&gt;"",O238&gt;$W$1),P238="Y"),"Yes",IF(O238&lt;&gt;"","No","Pending")))</f>
        <v/>
      </c>
      <c r="R238" s="29" t="n"/>
      <c r="S238" s="29" t="inlineStr">
        <is>
          <t>Brooke Minichino</t>
        </is>
      </c>
      <c r="T238" s="29" t="inlineStr">
        <is>
          <t>Local ENT</t>
        </is>
      </c>
      <c r="U238" s="29" t="inlineStr">
        <is>
          <t>Agenda &amp; Video, Email &amp; SMS, Engagement &amp; Sentiment, Experience Agents, Forms &amp; Workflows, Public Records Request, Recurring Services, Service Request Management, Websites, Portals, &amp; Intranets</t>
        </is>
      </c>
      <c r="X238" s="19" t="inlineStr">
        <is>
          <t>A</t>
        </is>
      </c>
      <c r="Y238" s="19" t="n">
        <v>63.1</v>
      </c>
      <c r="Z238" s="44" t="n">
        <v>0</v>
      </c>
      <c r="AA238" s="51" t="n">
        <v>0.3786</v>
      </c>
      <c r="AB238" s="46" t="n">
        <v>3</v>
      </c>
      <c r="AC238" s="19" t="inlineStr">
        <is>
          <t>Defend</t>
        </is>
      </c>
      <c r="AD238" s="19" t="n">
        <v>0.5</v>
      </c>
      <c r="AE238" s="19" t="inlineStr">
        <is>
          <t>reported</t>
        </is>
      </c>
    </row>
    <row r="239" ht="15" customHeight="1" s="20">
      <c r="A239" s="29" t="inlineStr">
        <is>
          <t>Houston Independent School District</t>
        </is>
      </c>
      <c r="B239" s="29" t="inlineStr">
        <is>
          <t>Houston Independent School District</t>
        </is>
      </c>
      <c r="C239" s="29" t="inlineStr">
        <is>
          <t>TX</t>
        </is>
      </c>
      <c r="D239" s="29" t="inlineStr">
        <is>
          <t>Local ENT</t>
        </is>
      </c>
      <c r="E239" s="29" t="inlineStr">
        <is>
          <t>Pete Redondo</t>
        </is>
      </c>
      <c r="F239" s="29" t="inlineStr">
        <is>
          <t>(not in WIP)</t>
        </is>
      </c>
      <c r="G239" s="39" t="inlineStr">
        <is>
          <t>Carolina Cambronero</t>
        </is>
      </c>
      <c r="H239" s="29">
        <f>IF(F239="(not in WIP)","New to Enterprise",IF(F239=G239,"No","Yes"))</f>
        <v/>
      </c>
      <c r="I239" s="29">
        <f>IFERROR(INDEX(Lookups!$B$2:$B$14,MATCH(G239,Lookups!$A$2:$A$14,0)),"Not found")</f>
        <v/>
      </c>
      <c r="J239" s="29">
        <f>IFERROR(INDEX(Lookups!$E$2:$E$14,MATCH(G239,Lookups!$A$2:$A$14,0)),"")</f>
        <v/>
      </c>
      <c r="K239" s="39" t="inlineStr">
        <is>
          <t>CT</t>
        </is>
      </c>
      <c r="L239" s="29">
        <f>IF(J239="n/a","n/a",IFERROR(IF(ABS(INDEX(Lookups!$H$2:$H$5,MATCH(J239,Lookups!$G$2:$G$5,0))-INDEX(Lookups!$H$2:$H$5,MATCH(K239,Lookups!$G$2:$G$5,0)))&lt;=1,"Yes","No"),"Check"))</f>
        <v/>
      </c>
      <c r="M239" s="43" t="n">
        <v>133796.16</v>
      </c>
      <c r="N239" s="29" t="inlineStr">
        <is>
          <t>Yes</t>
        </is>
      </c>
      <c r="O239" s="39" t="n">
        <v>3</v>
      </c>
      <c r="P239" s="27" t="n"/>
      <c r="Q239" s="29">
        <f>IF(N239&lt;&gt;"Yes","n/a",IF(OR(AND(O239&lt;&gt;"",O239&gt;$W$1),P239="Y"),"Yes",IF(O239&lt;&gt;"","No","Pending")))</f>
        <v/>
      </c>
      <c r="R239" s="29" t="n"/>
      <c r="S239" s="29" t="inlineStr">
        <is>
          <t>Kerrian Dailey</t>
        </is>
      </c>
      <c r="T239" s="29" t="inlineStr">
        <is>
          <t>Local ENT</t>
        </is>
      </c>
      <c r="U239" s="29" t="inlineStr">
        <is>
          <t>Agenda &amp; Video, Email &amp; SMS, Public Records Request</t>
        </is>
      </c>
      <c r="X239" s="19" t="inlineStr">
        <is>
          <t>A</t>
        </is>
      </c>
      <c r="Y239" s="19" t="n">
        <v>63.1</v>
      </c>
      <c r="Z239" s="44" t="n">
        <v>0.625</v>
      </c>
      <c r="AA239" s="51" t="n">
        <v>0.6286</v>
      </c>
      <c r="AB239" s="48" t="n">
        <v>1</v>
      </c>
      <c r="AC239" s="19" t="inlineStr">
        <is>
          <t>Growth engine</t>
        </is>
      </c>
      <c r="AD239" s="19" t="n">
        <v>1</v>
      </c>
      <c r="AE239" s="19" t="inlineStr">
        <is>
          <t>reported</t>
        </is>
      </c>
    </row>
    <row r="240" ht="15" customHeight="1" s="20">
      <c r="A240" s="29" t="inlineStr">
        <is>
          <t>Webb County TX</t>
        </is>
      </c>
      <c r="B240" s="29" t="inlineStr">
        <is>
          <t>Webb County TX</t>
        </is>
      </c>
      <c r="C240" s="29" t="inlineStr">
        <is>
          <t>TX</t>
        </is>
      </c>
      <c r="D240" s="29" t="inlineStr">
        <is>
          <t>Local ENT</t>
        </is>
      </c>
      <c r="E240" s="29" t="inlineStr">
        <is>
          <t>Pete Redondo</t>
        </is>
      </c>
      <c r="F240" s="29" t="inlineStr">
        <is>
          <t>Taylor Roman</t>
        </is>
      </c>
      <c r="G240" s="39" t="inlineStr">
        <is>
          <t>Carolina Cambronero</t>
        </is>
      </c>
      <c r="H240" s="29">
        <f>IF(F240="(not in WIP)","New to Enterprise",IF(F240=G240,"No","Yes"))</f>
        <v/>
      </c>
      <c r="I240" s="29">
        <f>IFERROR(INDEX(Lookups!$B$2:$B$14,MATCH(G240,Lookups!$A$2:$A$14,0)),"Not found")</f>
        <v/>
      </c>
      <c r="J240" s="29">
        <f>IFERROR(INDEX(Lookups!$E$2:$E$14,MATCH(G240,Lookups!$A$2:$A$14,0)),"")</f>
        <v/>
      </c>
      <c r="K240" s="39" t="inlineStr">
        <is>
          <t>CT</t>
        </is>
      </c>
      <c r="L240" s="29">
        <f>IF(J240="n/a","n/a",IFERROR(IF(ABS(INDEX(Lookups!$H$2:$H$5,MATCH(J240,Lookups!$G$2:$G$5,0))-INDEX(Lookups!$H$2:$H$5,MATCH(K240,Lookups!$G$2:$G$5,0)))&lt;=1,"Yes","No"),"Check"))</f>
        <v/>
      </c>
      <c r="M240" s="43" t="n">
        <v>70011.83</v>
      </c>
      <c r="N240" s="29" t="inlineStr">
        <is>
          <t>Yes</t>
        </is>
      </c>
      <c r="O240" s="39" t="n">
        <v>2</v>
      </c>
      <c r="P240" s="27" t="n"/>
      <c r="Q240" s="29">
        <f>IF(N240&lt;&gt;"Yes","n/a",IF(OR(AND(O240&lt;&gt;"",O240&gt;$W$1),P240="Y"),"Yes",IF(O240&lt;&gt;"","No","Pending")))</f>
        <v/>
      </c>
      <c r="R240" s="29" t="n"/>
      <c r="S240" s="29" t="inlineStr">
        <is>
          <t>Savannah Lane</t>
        </is>
      </c>
      <c r="T240" s="29" t="inlineStr">
        <is>
          <t>Local ENT</t>
        </is>
      </c>
      <c r="U240" s="29" t="inlineStr">
        <is>
          <t>Agenda &amp; Video, Public Records Request</t>
        </is>
      </c>
      <c r="X240" s="19" t="inlineStr">
        <is>
          <t>A</t>
        </is>
      </c>
      <c r="Y240" s="19" t="n">
        <v>63.1</v>
      </c>
      <c r="Z240" s="44" t="n">
        <v>0.75</v>
      </c>
      <c r="AA240" s="51" t="n">
        <v>0.6786</v>
      </c>
      <c r="AB240" s="49" t="n">
        <v>2</v>
      </c>
      <c r="AC240" s="19" t="inlineStr">
        <is>
          <t>Expansion</t>
        </is>
      </c>
      <c r="AD240" s="19" t="n">
        <v>0.8</v>
      </c>
      <c r="AE240" s="19" t="inlineStr">
        <is>
          <t>reported</t>
        </is>
      </c>
    </row>
    <row r="241" ht="15" customHeight="1" s="20">
      <c r="A241" s="29" t="inlineStr">
        <is>
          <t>Glendale, AZ</t>
        </is>
      </c>
      <c r="B241" s="29" t="inlineStr">
        <is>
          <t>Glendale, AZ</t>
        </is>
      </c>
      <c r="C241" s="29" t="inlineStr">
        <is>
          <t>AZ</t>
        </is>
      </c>
      <c r="D241" s="29" t="inlineStr">
        <is>
          <t>Local ENT</t>
        </is>
      </c>
      <c r="E241" s="29" t="inlineStr">
        <is>
          <t>Conrad Taylor</t>
        </is>
      </c>
      <c r="F241" s="29" t="inlineStr">
        <is>
          <t>Cody Nichols</t>
        </is>
      </c>
      <c r="G241" s="39" t="inlineStr">
        <is>
          <t>Carolina Prieto</t>
        </is>
      </c>
      <c r="H241" s="29">
        <f>IF(F241="(not in WIP)","New to Enterprise",IF(F241=G241,"No","Yes"))</f>
        <v/>
      </c>
      <c r="I241" s="29">
        <f>IFERROR(INDEX(Lookups!$B$2:$B$14,MATCH(G241,Lookups!$A$2:$A$14,0)),"Not found")</f>
        <v/>
      </c>
      <c r="J241" s="29">
        <f>IFERROR(INDEX(Lookups!$E$2:$E$14,MATCH(G241,Lookups!$A$2:$A$14,0)),"")</f>
        <v/>
      </c>
      <c r="K241" s="39" t="inlineStr">
        <is>
          <t>MT</t>
        </is>
      </c>
      <c r="L241" s="29">
        <f>IF(J241="n/a","n/a",IFERROR(IF(ABS(INDEX(Lookups!$H$2:$H$5,MATCH(J241,Lookups!$G$2:$G$5,0))-INDEX(Lookups!$H$2:$H$5,MATCH(K241,Lookups!$G$2:$G$5,0)))&lt;=1,"Yes","No"),"Check"))</f>
        <v/>
      </c>
      <c r="M241" s="43" t="n">
        <v>184265.76</v>
      </c>
      <c r="N241" s="29" t="inlineStr">
        <is>
          <t>Yes</t>
        </is>
      </c>
      <c r="O241" s="39" t="n">
        <v>7</v>
      </c>
      <c r="P241" s="27" t="n"/>
      <c r="Q241" s="29">
        <f>IF(N241&lt;&gt;"Yes","n/a",IF(OR(AND(O241&lt;&gt;"",O241&gt;$W$1),P241="Y"),"Yes",IF(O241&lt;&gt;"","No","Pending")))</f>
        <v/>
      </c>
      <c r="R241" s="29" t="n"/>
      <c r="S241" s="29" t="inlineStr">
        <is>
          <t>Carolina Prieto</t>
        </is>
      </c>
      <c r="T241" s="29" t="inlineStr">
        <is>
          <t>Local ENT</t>
        </is>
      </c>
      <c r="U241" s="29" t="inlineStr">
        <is>
          <t>Agenda &amp; Video, Email &amp; SMS, Engagement &amp; Sentiment, Forms &amp; Workflows, Permitting &amp; Licensing, Recurring Services, Websites, Portals, &amp; Intranets</t>
        </is>
      </c>
      <c r="X241" s="19" t="inlineStr">
        <is>
          <t>B</t>
        </is>
      </c>
      <c r="Y241" s="19" t="n">
        <v>57.3</v>
      </c>
      <c r="Z241" s="44" t="n">
        <v>0.125</v>
      </c>
      <c r="AA241" s="51" t="n">
        <v>0.3938</v>
      </c>
      <c r="AB241" s="46" t="n">
        <v>3</v>
      </c>
      <c r="AC241" s="19" t="inlineStr">
        <is>
          <t>Defend</t>
        </is>
      </c>
      <c r="AD241" s="19" t="n">
        <v>0.5</v>
      </c>
      <c r="AE241" s="19" t="inlineStr">
        <is>
          <t>reported</t>
        </is>
      </c>
    </row>
    <row r="242" ht="15" customHeight="1" s="20">
      <c r="A242" s="29" t="inlineStr">
        <is>
          <t>Oakland, CA</t>
        </is>
      </c>
      <c r="B242" s="29" t="inlineStr">
        <is>
          <t>Oakland, CA</t>
        </is>
      </c>
      <c r="C242" s="29" t="inlineStr">
        <is>
          <t>CA</t>
        </is>
      </c>
      <c r="D242" s="29" t="inlineStr">
        <is>
          <t>Local ENT</t>
        </is>
      </c>
      <c r="E242" s="29" t="inlineStr">
        <is>
          <t>Jason Spanier</t>
        </is>
      </c>
      <c r="F242" s="29" t="inlineStr">
        <is>
          <t>Colleen Moran</t>
        </is>
      </c>
      <c r="G242" s="39" t="inlineStr">
        <is>
          <t>Carolina Prieto</t>
        </is>
      </c>
      <c r="H242" s="29">
        <f>IF(F242="(not in WIP)","New to Enterprise",IF(F242=G242,"No","Yes"))</f>
        <v/>
      </c>
      <c r="I242" s="29">
        <f>IFERROR(INDEX(Lookups!$B$2:$B$14,MATCH(G242,Lookups!$A$2:$A$14,0)),"Not found")</f>
        <v/>
      </c>
      <c r="J242" s="29">
        <f>IFERROR(INDEX(Lookups!$E$2:$E$14,MATCH(G242,Lookups!$A$2:$A$14,0)),"")</f>
        <v/>
      </c>
      <c r="K242" s="39" t="inlineStr">
        <is>
          <t>PT</t>
        </is>
      </c>
      <c r="L242" s="29">
        <f>IF(J242="n/a","n/a",IFERROR(IF(ABS(INDEX(Lookups!$H$2:$H$5,MATCH(J242,Lookups!$G$2:$G$5,0))-INDEX(Lookups!$H$2:$H$5,MATCH(K242,Lookups!$G$2:$G$5,0)))&lt;=1,"Yes","No"),"Check"))</f>
        <v/>
      </c>
      <c r="M242" s="43" t="n">
        <v>417352.67</v>
      </c>
      <c r="N242" s="29" t="inlineStr">
        <is>
          <t>Yes</t>
        </is>
      </c>
      <c r="O242" s="39" t="n">
        <v>5</v>
      </c>
      <c r="P242" s="27" t="n"/>
      <c r="Q242" s="29">
        <f>IF(N242&lt;&gt;"Yes","n/a",IF(OR(AND(O242&lt;&gt;"",O242&gt;$W$1),P242="Y"),"Yes",IF(O242&lt;&gt;"","No","Pending")))</f>
        <v/>
      </c>
      <c r="R242" s="29" t="inlineStr">
        <is>
          <t>Oakland: confirm whether "SF" SAM coverage includes East Bay (Jeff Gaisford) or it sits in Other CA</t>
        </is>
      </c>
      <c r="S242" s="29" t="inlineStr">
        <is>
          <t>Carolina Prieto</t>
        </is>
      </c>
      <c r="T242" s="29" t="inlineStr">
        <is>
          <t>Local ENT</t>
        </is>
      </c>
      <c r="U242" s="29" t="inlineStr">
        <is>
          <t>Agenda &amp; Video, Forms &amp; Workflows, Short-term Rentals, Websites, Portals, &amp; Intranets, govXCloud</t>
        </is>
      </c>
      <c r="X242" s="19" t="inlineStr">
        <is>
          <t>A</t>
        </is>
      </c>
      <c r="Y242" s="19" t="n">
        <v>62.3</v>
      </c>
      <c r="Z242" s="44" t="n">
        <v>0.375</v>
      </c>
      <c r="AA242" s="51" t="n">
        <v>0.5238</v>
      </c>
      <c r="AB242" s="46" t="n">
        <v>3</v>
      </c>
      <c r="AC242" s="19" t="inlineStr">
        <is>
          <t>Defend</t>
        </is>
      </c>
      <c r="AD242" s="19" t="n">
        <v>0.5</v>
      </c>
      <c r="AE242" s="19" t="inlineStr">
        <is>
          <t>reported</t>
        </is>
      </c>
    </row>
    <row r="243" ht="15" customHeight="1" s="20">
      <c r="A243" s="29" t="inlineStr">
        <is>
          <t>Aurora, IL</t>
        </is>
      </c>
      <c r="B243" s="29" t="inlineStr">
        <is>
          <t>Aurora, IL</t>
        </is>
      </c>
      <c r="C243" s="29" t="inlineStr">
        <is>
          <t>IL</t>
        </is>
      </c>
      <c r="D243" s="29" t="inlineStr">
        <is>
          <t>Local ENT</t>
        </is>
      </c>
      <c r="E243" s="29" t="inlineStr">
        <is>
          <t>Kent Hartsfield</t>
        </is>
      </c>
      <c r="F243" s="29" t="inlineStr">
        <is>
          <t>Steffany Amador</t>
        </is>
      </c>
      <c r="G243" s="39" t="inlineStr">
        <is>
          <t>Carolina Prieto</t>
        </is>
      </c>
      <c r="H243" s="29">
        <f>IF(F243="(not in WIP)","New to Enterprise",IF(F243=G243,"No","Yes"))</f>
        <v/>
      </c>
      <c r="I243" s="29">
        <f>IFERROR(INDEX(Lookups!$B$2:$B$14,MATCH(G243,Lookups!$A$2:$A$14,0)),"Not found")</f>
        <v/>
      </c>
      <c r="J243" s="29">
        <f>IFERROR(INDEX(Lookups!$E$2:$E$14,MATCH(G243,Lookups!$A$2:$A$14,0)),"")</f>
        <v/>
      </c>
      <c r="K243" s="39" t="inlineStr">
        <is>
          <t>CT</t>
        </is>
      </c>
      <c r="L243" s="29">
        <f>IF(J243="n/a","n/a",IFERROR(IF(ABS(INDEX(Lookups!$H$2:$H$5,MATCH(J243,Lookups!$G$2:$G$5,0))-INDEX(Lookups!$H$2:$H$5,MATCH(K243,Lookups!$G$2:$G$5,0)))&lt;=1,"Yes","No"),"Check"))</f>
        <v/>
      </c>
      <c r="M243" s="43" t="n">
        <v>278289.25</v>
      </c>
      <c r="N243" s="29" t="inlineStr">
        <is>
          <t>Yes</t>
        </is>
      </c>
      <c r="O243" s="39" t="n">
        <v>9</v>
      </c>
      <c r="P243" s="27" t="n"/>
      <c r="Q243" s="29">
        <f>IF(N243&lt;&gt;"Yes","n/a",IF(OR(AND(O243&lt;&gt;"",O243&gt;$W$1),P243="Y"),"Yes",IF(O243&lt;&gt;"","No","Pending")))</f>
        <v/>
      </c>
      <c r="R243" s="29" t="n"/>
      <c r="S243" s="29" t="inlineStr">
        <is>
          <t>Carolina Prieto</t>
        </is>
      </c>
      <c r="T243" s="29" t="inlineStr">
        <is>
          <t>Local ENT</t>
        </is>
      </c>
      <c r="U243" s="29" t="inlineStr">
        <is>
          <t>Agenda &amp; Video, Email &amp; SMS, Engagement &amp; Sentiment, Experience Agents, Forms &amp; Workflows, Public Records Request, Recurring Services, Service Request Management, Websites, Portals, &amp; Intranets</t>
        </is>
      </c>
      <c r="X243" s="19" t="inlineStr">
        <is>
          <t>C</t>
        </is>
      </c>
      <c r="Y243" s="19" t="n">
        <v>40</v>
      </c>
      <c r="Z243" s="44" t="n">
        <v>0</v>
      </c>
      <c r="AA243" s="51" t="n">
        <v>0.24</v>
      </c>
      <c r="AB243" s="46" t="n">
        <v>3</v>
      </c>
      <c r="AC243" s="19" t="inlineStr">
        <is>
          <t>Defend</t>
        </is>
      </c>
      <c r="AD243" s="19" t="n">
        <v>0.5</v>
      </c>
      <c r="AE243" s="19" t="inlineStr">
        <is>
          <t>reported</t>
        </is>
      </c>
    </row>
    <row r="244" ht="15" customHeight="1" s="20">
      <c r="A244" s="29" t="inlineStr">
        <is>
          <t>Kentucky Commonwealth Office of Technology</t>
        </is>
      </c>
      <c r="B244" s="29" t="inlineStr">
        <is>
          <t>Kentucky</t>
        </is>
      </c>
      <c r="C244" s="29" t="inlineStr">
        <is>
          <t>KY</t>
        </is>
      </c>
      <c r="D244" s="29" t="inlineStr">
        <is>
          <t>State</t>
        </is>
      </c>
      <c r="E244" s="29" t="inlineStr">
        <is>
          <t>State AE – KY/TN/AR</t>
        </is>
      </c>
      <c r="F244" s="29" t="inlineStr">
        <is>
          <t>Marcy Castro</t>
        </is>
      </c>
      <c r="G244" s="39" t="inlineStr">
        <is>
          <t>Carolina Prieto</t>
        </is>
      </c>
      <c r="H244" s="29">
        <f>IF(F244="(not in WIP)","New to Enterprise",IF(F244=G244,"No","Yes"))</f>
        <v/>
      </c>
      <c r="I244" s="29">
        <f>IFERROR(INDEX(Lookups!$B$2:$B$14,MATCH(G244,Lookups!$A$2:$A$14,0)),"Not found")</f>
        <v/>
      </c>
      <c r="J244" s="29">
        <f>IFERROR(INDEX(Lookups!$E$2:$E$14,MATCH(G244,Lookups!$A$2:$A$14,0)),"")</f>
        <v/>
      </c>
      <c r="K244" s="39" t="inlineStr">
        <is>
          <t>ET</t>
        </is>
      </c>
      <c r="L244" s="29">
        <f>IF(J244="n/a","n/a",IFERROR(IF(ABS(INDEX(Lookups!$H$2:$H$5,MATCH(J244,Lookups!$G$2:$G$5,0))-INDEX(Lookups!$H$2:$H$5,MATCH(K244,Lookups!$G$2:$G$5,0)))&lt;=1,"Yes","No"),"Check"))</f>
        <v/>
      </c>
      <c r="M244" s="43" t="n">
        <v>393182.5</v>
      </c>
      <c r="N244" s="29" t="inlineStr">
        <is>
          <t>Yes</t>
        </is>
      </c>
      <c r="O244" s="39" t="n">
        <v>3</v>
      </c>
      <c r="P244" s="27" t="n"/>
      <c r="Q244" s="29">
        <f>IF(N244&lt;&gt;"Yes","n/a",IF(OR(AND(O244&lt;&gt;"",O244&gt;$W$1),P244="Y"),"Yes",IF(O244&lt;&gt;"","No","Pending")))</f>
        <v/>
      </c>
      <c r="R244" s="29" t="n"/>
      <c r="S244" s="29" t="inlineStr">
        <is>
          <t>Carolina Prieto</t>
        </is>
      </c>
      <c r="T244" s="29" t="inlineStr">
        <is>
          <t>State</t>
        </is>
      </c>
      <c r="U244" s="29" t="inlineStr">
        <is>
          <t>Email &amp; SMS, Engagement &amp; Sentiment, Recurring Services</t>
        </is>
      </c>
      <c r="X244" s="19" t="inlineStr">
        <is>
          <t>D</t>
        </is>
      </c>
      <c r="Y244" s="19" t="n">
        <v>34.7</v>
      </c>
      <c r="Z244" s="44" t="n">
        <v>0.625</v>
      </c>
      <c r="AA244" s="51" t="n">
        <v>0.4582</v>
      </c>
      <c r="AB244" s="46" t="n">
        <v>3</v>
      </c>
      <c r="AC244" s="19" t="inlineStr">
        <is>
          <t>Defend</t>
        </is>
      </c>
      <c r="AD244" s="19" t="n">
        <v>0.5</v>
      </c>
      <c r="AE244" s="19" t="inlineStr">
        <is>
          <t>reported</t>
        </is>
      </c>
    </row>
    <row r="245" ht="15" customHeight="1" s="20">
      <c r="A245" s="29" t="inlineStr">
        <is>
          <t>Kentucky Communications Network Authority</t>
        </is>
      </c>
      <c r="B245" s="29" t="inlineStr">
        <is>
          <t>Kentucky</t>
        </is>
      </c>
      <c r="C245" s="29" t="inlineStr">
        <is>
          <t>KY</t>
        </is>
      </c>
      <c r="D245" s="29" t="inlineStr">
        <is>
          <t>State</t>
        </is>
      </c>
      <c r="E245" s="29" t="inlineStr">
        <is>
          <t>State AE – KY/TN/AR</t>
        </is>
      </c>
      <c r="F245" s="29" t="inlineStr">
        <is>
          <t>Marcy Castro</t>
        </is>
      </c>
      <c r="G245" s="39" t="inlineStr">
        <is>
          <t>Carolina Prieto</t>
        </is>
      </c>
      <c r="H245" s="29">
        <f>IF(F245="(not in WIP)","New to Enterprise",IF(F245=G245,"No","Yes"))</f>
        <v/>
      </c>
      <c r="I245" s="29">
        <f>IFERROR(INDEX(Lookups!$B$2:$B$14,MATCH(G245,Lookups!$A$2:$A$14,0)),"Not found")</f>
        <v/>
      </c>
      <c r="J245" s="29">
        <f>IFERROR(INDEX(Lookups!$E$2:$E$14,MATCH(G245,Lookups!$A$2:$A$14,0)),"")</f>
        <v/>
      </c>
      <c r="K245" s="39" t="inlineStr">
        <is>
          <t>ET</t>
        </is>
      </c>
      <c r="L245" s="29">
        <f>IF(J245="n/a","n/a",IFERROR(IF(ABS(INDEX(Lookups!$H$2:$H$5,MATCH(J245,Lookups!$G$2:$G$5,0))-INDEX(Lookups!$H$2:$H$5,MATCH(K245,Lookups!$G$2:$G$5,0)))&lt;=1,"Yes","No"),"Check"))</f>
        <v/>
      </c>
      <c r="M245" s="43" t="n">
        <v>0</v>
      </c>
      <c r="N245" s="29" t="inlineStr">
        <is>
          <t>No (Allocated)</t>
        </is>
      </c>
      <c r="O245" s="39" t="n">
        <v>0</v>
      </c>
      <c r="P245" s="27" t="n"/>
      <c r="Q245" s="29">
        <f>IF(N245&lt;&gt;"Yes","n/a",IF(OR(AND(O245&lt;&gt;"",O245&gt;$W$1),P245="Y"),"Yes",IF(O245&lt;&gt;"","No","Pending")))</f>
        <v/>
      </c>
      <c r="R245" s="29" t="n"/>
      <c r="S245" s="29" t="inlineStr">
        <is>
          <t>Carolina Prieto</t>
        </is>
      </c>
      <c r="T245" s="29" t="inlineStr">
        <is>
          <t>State</t>
        </is>
      </c>
      <c r="U245" s="29" t="n"/>
      <c r="X245" s="19" t="inlineStr">
        <is>
          <t>D</t>
        </is>
      </c>
      <c r="Y245" s="19" t="n">
        <v>34.7</v>
      </c>
      <c r="Z245" s="44" t="n">
        <v>0.75</v>
      </c>
      <c r="AA245" s="51" t="n">
        <v>0.5082</v>
      </c>
      <c r="AB245" s="47" t="n">
        <v>4</v>
      </c>
      <c r="AC245" s="19" t="inlineStr">
        <is>
          <t>Maintain</t>
        </is>
      </c>
      <c r="AD245" s="19" t="n">
        <v>0</v>
      </c>
      <c r="AE245" s="19" t="inlineStr">
        <is>
          <t>imputed</t>
        </is>
      </c>
    </row>
    <row r="246" ht="15" customHeight="1" s="20">
      <c r="A246" s="29" t="inlineStr">
        <is>
          <t>Kentucky Energy &amp; Environment Cabinet</t>
        </is>
      </c>
      <c r="B246" s="29" t="inlineStr">
        <is>
          <t>Kentucky</t>
        </is>
      </c>
      <c r="C246" s="29" t="inlineStr">
        <is>
          <t>KY</t>
        </is>
      </c>
      <c r="D246" s="29" t="inlineStr">
        <is>
          <t>State</t>
        </is>
      </c>
      <c r="E246" s="29" t="inlineStr">
        <is>
          <t>State AE – KY/TN/AR</t>
        </is>
      </c>
      <c r="F246" s="29" t="inlineStr">
        <is>
          <t>Marcy Castro</t>
        </is>
      </c>
      <c r="G246" s="39" t="inlineStr">
        <is>
          <t>Carolina Prieto</t>
        </is>
      </c>
      <c r="H246" s="29">
        <f>IF(F246="(not in WIP)","New to Enterprise",IF(F246=G246,"No","Yes"))</f>
        <v/>
      </c>
      <c r="I246" s="29">
        <f>IFERROR(INDEX(Lookups!$B$2:$B$14,MATCH(G246,Lookups!$A$2:$A$14,0)),"Not found")</f>
        <v/>
      </c>
      <c r="J246" s="29">
        <f>IFERROR(INDEX(Lookups!$E$2:$E$14,MATCH(G246,Lookups!$A$2:$A$14,0)),"")</f>
        <v/>
      </c>
      <c r="K246" s="39" t="inlineStr">
        <is>
          <t>ET</t>
        </is>
      </c>
      <c r="L246" s="29">
        <f>IF(J246="n/a","n/a",IFERROR(IF(ABS(INDEX(Lookups!$H$2:$H$5,MATCH(J246,Lookups!$G$2:$G$5,0))-INDEX(Lookups!$H$2:$H$5,MATCH(K246,Lookups!$G$2:$G$5,0)))&lt;=1,"Yes","No"),"Check"))</f>
        <v/>
      </c>
      <c r="M246" s="43" t="n">
        <v>0</v>
      </c>
      <c r="N246" s="29" t="inlineStr">
        <is>
          <t>Yes</t>
        </is>
      </c>
      <c r="O246" s="39" t="n">
        <v>0</v>
      </c>
      <c r="P246" s="27" t="n"/>
      <c r="Q246" s="29">
        <f>IF(N246&lt;&gt;"Yes","n/a",IF(OR(AND(O246&lt;&gt;"",O246&gt;$W$1),P246="Y"),"Yes",IF(O246&lt;&gt;"","No","Pending")))</f>
        <v/>
      </c>
      <c r="R246" s="29" t="n"/>
      <c r="S246" s="29" t="inlineStr">
        <is>
          <t>Carolina Prieto</t>
        </is>
      </c>
      <c r="T246" s="29" t="inlineStr">
        <is>
          <t>State</t>
        </is>
      </c>
      <c r="U246" s="29" t="n"/>
      <c r="X246" s="19" t="inlineStr">
        <is>
          <t>D</t>
        </is>
      </c>
      <c r="Y246" s="19" t="n">
        <v>34.7</v>
      </c>
      <c r="Z246" s="44" t="n">
        <v>0.75</v>
      </c>
      <c r="AA246" s="51" t="n">
        <v>0.5082</v>
      </c>
      <c r="AB246" s="47" t="n">
        <v>4</v>
      </c>
      <c r="AC246" s="19" t="inlineStr">
        <is>
          <t>Maintain</t>
        </is>
      </c>
      <c r="AD246" s="19" t="n">
        <v>0.3</v>
      </c>
      <c r="AE246" s="19" t="inlineStr">
        <is>
          <t>imputed</t>
        </is>
      </c>
    </row>
    <row r="247" ht="15" customHeight="1" s="20">
      <c r="A247" s="29" t="inlineStr">
        <is>
          <t>Kentucky Commission on Military Affairs</t>
        </is>
      </c>
      <c r="B247" s="29" t="inlineStr">
        <is>
          <t>Kentucky</t>
        </is>
      </c>
      <c r="C247" s="29" t="inlineStr">
        <is>
          <t>KY</t>
        </is>
      </c>
      <c r="D247" s="29" t="inlineStr">
        <is>
          <t>State</t>
        </is>
      </c>
      <c r="E247" s="29" t="inlineStr">
        <is>
          <t>State AE – KY/TN/AR</t>
        </is>
      </c>
      <c r="F247" s="29" t="inlineStr">
        <is>
          <t>Marcy Castro</t>
        </is>
      </c>
      <c r="G247" s="39" t="inlineStr">
        <is>
          <t>Carolina Prieto</t>
        </is>
      </c>
      <c r="H247" s="29">
        <f>IF(F247="(not in WIP)","New to Enterprise",IF(F247=G247,"No","Yes"))</f>
        <v/>
      </c>
      <c r="I247" s="29">
        <f>IFERROR(INDEX(Lookups!$B$2:$B$14,MATCH(G247,Lookups!$A$2:$A$14,0)),"Not found")</f>
        <v/>
      </c>
      <c r="J247" s="29">
        <f>IFERROR(INDEX(Lookups!$E$2:$E$14,MATCH(G247,Lookups!$A$2:$A$14,0)),"")</f>
        <v/>
      </c>
      <c r="K247" s="39" t="inlineStr">
        <is>
          <t>ET</t>
        </is>
      </c>
      <c r="L247" s="29">
        <f>IF(J247="n/a","n/a",IFERROR(IF(ABS(INDEX(Lookups!$H$2:$H$5,MATCH(J247,Lookups!$G$2:$G$5,0))-INDEX(Lookups!$H$2:$H$5,MATCH(K247,Lookups!$G$2:$G$5,0)))&lt;=1,"Yes","No"),"Check"))</f>
        <v/>
      </c>
      <c r="M247" s="43" t="n">
        <v>0</v>
      </c>
      <c r="N247" s="29" t="inlineStr">
        <is>
          <t>No (Allocated)</t>
        </is>
      </c>
      <c r="O247" s="39" t="n">
        <v>0</v>
      </c>
      <c r="P247" s="27" t="n"/>
      <c r="Q247" s="29">
        <f>IF(N247&lt;&gt;"Yes","n/a",IF(OR(AND(O247&lt;&gt;"",O247&gt;$W$1),P247="Y"),"Yes",IF(O247&lt;&gt;"","No","Pending")))</f>
        <v/>
      </c>
      <c r="R247" s="29" t="n"/>
      <c r="S247" s="29" t="inlineStr">
        <is>
          <t>Carolina Prieto</t>
        </is>
      </c>
      <c r="T247" s="29" t="inlineStr">
        <is>
          <t>State</t>
        </is>
      </c>
      <c r="U247" s="29" t="n"/>
      <c r="X247" s="19" t="inlineStr">
        <is>
          <t>D</t>
        </is>
      </c>
      <c r="Y247" s="19" t="n">
        <v>34.7</v>
      </c>
      <c r="Z247" s="44" t="n">
        <v>0.75</v>
      </c>
      <c r="AA247" s="51" t="n">
        <v>0.5082</v>
      </c>
      <c r="AB247" s="47" t="n">
        <v>4</v>
      </c>
      <c r="AC247" s="19" t="inlineStr">
        <is>
          <t>Maintain</t>
        </is>
      </c>
      <c r="AD247" s="19" t="n">
        <v>0</v>
      </c>
      <c r="AE247" s="19" t="inlineStr">
        <is>
          <t>imputed</t>
        </is>
      </c>
    </row>
    <row r="248" ht="15" customHeight="1" s="20">
      <c r="A248" s="29" t="inlineStr">
        <is>
          <t>Kentucky Council on Postsecondary Education</t>
        </is>
      </c>
      <c r="B248" s="29" t="inlineStr">
        <is>
          <t>Kentucky</t>
        </is>
      </c>
      <c r="C248" s="29" t="inlineStr">
        <is>
          <t>KY</t>
        </is>
      </c>
      <c r="D248" s="29" t="inlineStr">
        <is>
          <t>State</t>
        </is>
      </c>
      <c r="E248" s="29" t="inlineStr">
        <is>
          <t>State AE – KY/TN/AR</t>
        </is>
      </c>
      <c r="F248" s="29" t="inlineStr">
        <is>
          <t>Marcy Castro</t>
        </is>
      </c>
      <c r="G248" s="39" t="inlineStr">
        <is>
          <t>Carolina Prieto</t>
        </is>
      </c>
      <c r="H248" s="29">
        <f>IF(F248="(not in WIP)","New to Enterprise",IF(F248=G248,"No","Yes"))</f>
        <v/>
      </c>
      <c r="I248" s="29">
        <f>IFERROR(INDEX(Lookups!$B$2:$B$14,MATCH(G248,Lookups!$A$2:$A$14,0)),"Not found")</f>
        <v/>
      </c>
      <c r="J248" s="29">
        <f>IFERROR(INDEX(Lookups!$E$2:$E$14,MATCH(G248,Lookups!$A$2:$A$14,0)),"")</f>
        <v/>
      </c>
      <c r="K248" s="39" t="inlineStr">
        <is>
          <t>ET</t>
        </is>
      </c>
      <c r="L248" s="29">
        <f>IF(J248="n/a","n/a",IFERROR(IF(ABS(INDEX(Lookups!$H$2:$H$5,MATCH(J248,Lookups!$G$2:$G$5,0))-INDEX(Lookups!$H$2:$H$5,MATCH(K248,Lookups!$G$2:$G$5,0)))&lt;=1,"Yes","No"),"Check"))</f>
        <v/>
      </c>
      <c r="M248" s="43" t="n">
        <v>0</v>
      </c>
      <c r="N248" s="29" t="inlineStr">
        <is>
          <t>No (Allocated)</t>
        </is>
      </c>
      <c r="O248" s="39" t="n">
        <v>0</v>
      </c>
      <c r="P248" s="27" t="n"/>
      <c r="Q248" s="29">
        <f>IF(N248&lt;&gt;"Yes","n/a",IF(OR(AND(O248&lt;&gt;"",O248&gt;$W$1),P248="Y"),"Yes",IF(O248&lt;&gt;"","No","Pending")))</f>
        <v/>
      </c>
      <c r="R248" s="29" t="n"/>
      <c r="S248" s="29" t="inlineStr">
        <is>
          <t>Carolina Prieto</t>
        </is>
      </c>
      <c r="T248" s="29" t="inlineStr">
        <is>
          <t>State</t>
        </is>
      </c>
      <c r="U248" s="29" t="n"/>
      <c r="X248" s="19" t="inlineStr">
        <is>
          <t>D</t>
        </is>
      </c>
      <c r="Y248" s="19" t="n">
        <v>34.7</v>
      </c>
      <c r="Z248" s="44" t="n">
        <v>0.75</v>
      </c>
      <c r="AA248" s="51" t="n">
        <v>0.5082</v>
      </c>
      <c r="AB248" s="47" t="n">
        <v>4</v>
      </c>
      <c r="AC248" s="19" t="inlineStr">
        <is>
          <t>Maintain</t>
        </is>
      </c>
      <c r="AD248" s="19" t="n">
        <v>0</v>
      </c>
      <c r="AE248" s="19" t="inlineStr">
        <is>
          <t>imputed</t>
        </is>
      </c>
    </row>
    <row r="249" ht="15" customHeight="1" s="20">
      <c r="A249" s="29" t="inlineStr">
        <is>
          <t>Kentucky General Government Cabinet</t>
        </is>
      </c>
      <c r="B249" s="29" t="inlineStr">
        <is>
          <t>Kentucky</t>
        </is>
      </c>
      <c r="C249" s="29" t="inlineStr">
        <is>
          <t>KY</t>
        </is>
      </c>
      <c r="D249" s="29" t="inlineStr">
        <is>
          <t>State</t>
        </is>
      </c>
      <c r="E249" s="29" t="inlineStr">
        <is>
          <t>State AE – KY/TN/AR</t>
        </is>
      </c>
      <c r="F249" s="29" t="inlineStr">
        <is>
          <t>Marcy Castro</t>
        </is>
      </c>
      <c r="G249" s="39" t="inlineStr">
        <is>
          <t>Carolina Prieto</t>
        </is>
      </c>
      <c r="H249" s="29">
        <f>IF(F249="(not in WIP)","New to Enterprise",IF(F249=G249,"No","Yes"))</f>
        <v/>
      </c>
      <c r="I249" s="29">
        <f>IFERROR(INDEX(Lookups!$B$2:$B$14,MATCH(G249,Lookups!$A$2:$A$14,0)),"Not found")</f>
        <v/>
      </c>
      <c r="J249" s="29">
        <f>IFERROR(INDEX(Lookups!$E$2:$E$14,MATCH(G249,Lookups!$A$2:$A$14,0)),"")</f>
        <v/>
      </c>
      <c r="K249" s="39" t="inlineStr">
        <is>
          <t>ET</t>
        </is>
      </c>
      <c r="L249" s="29">
        <f>IF(J249="n/a","n/a",IFERROR(IF(ABS(INDEX(Lookups!$H$2:$H$5,MATCH(J249,Lookups!$G$2:$G$5,0))-INDEX(Lookups!$H$2:$H$5,MATCH(K249,Lookups!$G$2:$G$5,0)))&lt;=1,"Yes","No"),"Check"))</f>
        <v/>
      </c>
      <c r="M249" s="43" t="n">
        <v>0</v>
      </c>
      <c r="N249" s="29" t="inlineStr">
        <is>
          <t>Yes</t>
        </is>
      </c>
      <c r="O249" s="39" t="n">
        <v>0</v>
      </c>
      <c r="P249" s="27" t="n"/>
      <c r="Q249" s="29">
        <f>IF(N249&lt;&gt;"Yes","n/a",IF(OR(AND(O249&lt;&gt;"",O249&gt;$W$1),P249="Y"),"Yes",IF(O249&lt;&gt;"","No","Pending")))</f>
        <v/>
      </c>
      <c r="R249" s="29" t="n"/>
      <c r="S249" s="29" t="inlineStr">
        <is>
          <t>Carolina Prieto</t>
        </is>
      </c>
      <c r="T249" s="29" t="inlineStr">
        <is>
          <t>State</t>
        </is>
      </c>
      <c r="U249" s="29" t="n"/>
      <c r="X249" s="19" t="inlineStr">
        <is>
          <t>D</t>
        </is>
      </c>
      <c r="Y249" s="19" t="n">
        <v>34.7</v>
      </c>
      <c r="Z249" s="44" t="n">
        <v>0.75</v>
      </c>
      <c r="AA249" s="51" t="n">
        <v>0.5082</v>
      </c>
      <c r="AB249" s="47" t="n">
        <v>4</v>
      </c>
      <c r="AC249" s="19" t="inlineStr">
        <is>
          <t>Maintain</t>
        </is>
      </c>
      <c r="AD249" s="19" t="n">
        <v>0.3</v>
      </c>
      <c r="AE249" s="19" t="inlineStr">
        <is>
          <t>imputed</t>
        </is>
      </c>
    </row>
    <row r="250" ht="15" customHeight="1" s="20">
      <c r="A250" s="29" t="inlineStr">
        <is>
          <t>Kentucky Labor Cabinet</t>
        </is>
      </c>
      <c r="B250" s="29" t="inlineStr">
        <is>
          <t>Kentucky</t>
        </is>
      </c>
      <c r="C250" s="29" t="inlineStr">
        <is>
          <t>KY</t>
        </is>
      </c>
      <c r="D250" s="29" t="inlineStr">
        <is>
          <t>State</t>
        </is>
      </c>
      <c r="E250" s="29" t="inlineStr">
        <is>
          <t>State AE – KY/TN/AR</t>
        </is>
      </c>
      <c r="F250" s="29" t="inlineStr">
        <is>
          <t>Marcy Castro</t>
        </is>
      </c>
      <c r="G250" s="39" t="inlineStr">
        <is>
          <t>Carolina Prieto</t>
        </is>
      </c>
      <c r="H250" s="29">
        <f>IF(F250="(not in WIP)","New to Enterprise",IF(F250=G250,"No","Yes"))</f>
        <v/>
      </c>
      <c r="I250" s="29">
        <f>IFERROR(INDEX(Lookups!$B$2:$B$14,MATCH(G250,Lookups!$A$2:$A$14,0)),"Not found")</f>
        <v/>
      </c>
      <c r="J250" s="29">
        <f>IFERROR(INDEX(Lookups!$E$2:$E$14,MATCH(G250,Lookups!$A$2:$A$14,0)),"")</f>
        <v/>
      </c>
      <c r="K250" s="39" t="inlineStr">
        <is>
          <t>ET</t>
        </is>
      </c>
      <c r="L250" s="29">
        <f>IF(J250="n/a","n/a",IFERROR(IF(ABS(INDEX(Lookups!$H$2:$H$5,MATCH(J250,Lookups!$G$2:$G$5,0))-INDEX(Lookups!$H$2:$H$5,MATCH(K250,Lookups!$G$2:$G$5,0)))&lt;=1,"Yes","No"),"Check"))</f>
        <v/>
      </c>
      <c r="M250" s="43" t="n">
        <v>0</v>
      </c>
      <c r="N250" s="29" t="inlineStr">
        <is>
          <t>No (Allocated)</t>
        </is>
      </c>
      <c r="O250" s="39" t="n">
        <v>0</v>
      </c>
      <c r="P250" s="27" t="n"/>
      <c r="Q250" s="29">
        <f>IF(N250&lt;&gt;"Yes","n/a",IF(OR(AND(O250&lt;&gt;"",O250&gt;$W$1),P250="Y"),"Yes",IF(O250&lt;&gt;"","No","Pending")))</f>
        <v/>
      </c>
      <c r="R250" s="29" t="n"/>
      <c r="S250" s="29" t="inlineStr">
        <is>
          <t>Carolina Prieto</t>
        </is>
      </c>
      <c r="T250" s="29" t="inlineStr">
        <is>
          <t>State</t>
        </is>
      </c>
      <c r="U250" s="29" t="n"/>
      <c r="X250" s="19" t="inlineStr">
        <is>
          <t>D</t>
        </is>
      </c>
      <c r="Y250" s="19" t="n">
        <v>34.7</v>
      </c>
      <c r="Z250" s="44" t="n">
        <v>0.75</v>
      </c>
      <c r="AA250" s="51" t="n">
        <v>0.5082</v>
      </c>
      <c r="AB250" s="47" t="n">
        <v>4</v>
      </c>
      <c r="AC250" s="19" t="inlineStr">
        <is>
          <t>Maintain</t>
        </is>
      </c>
      <c r="AD250" s="19" t="n">
        <v>0</v>
      </c>
      <c r="AE250" s="19" t="inlineStr">
        <is>
          <t>imputed</t>
        </is>
      </c>
    </row>
    <row r="251" ht="15" customHeight="1" s="20">
      <c r="A251" s="29" t="inlineStr">
        <is>
          <t>Kentucky Office of the State Budget Director</t>
        </is>
      </c>
      <c r="B251" s="29" t="inlineStr">
        <is>
          <t>Kentucky</t>
        </is>
      </c>
      <c r="C251" s="29" t="inlineStr">
        <is>
          <t>KY</t>
        </is>
      </c>
      <c r="D251" s="29" t="inlineStr">
        <is>
          <t>State</t>
        </is>
      </c>
      <c r="E251" s="29" t="inlineStr">
        <is>
          <t>State AE – KY/TN/AR</t>
        </is>
      </c>
      <c r="F251" s="29" t="inlineStr">
        <is>
          <t>Marcy Castro</t>
        </is>
      </c>
      <c r="G251" s="39" t="inlineStr">
        <is>
          <t>Carolina Prieto</t>
        </is>
      </c>
      <c r="H251" s="29">
        <f>IF(F251="(not in WIP)","New to Enterprise",IF(F251=G251,"No","Yes"))</f>
        <v/>
      </c>
      <c r="I251" s="29">
        <f>IFERROR(INDEX(Lookups!$B$2:$B$14,MATCH(G251,Lookups!$A$2:$A$14,0)),"Not found")</f>
        <v/>
      </c>
      <c r="J251" s="29">
        <f>IFERROR(INDEX(Lookups!$E$2:$E$14,MATCH(G251,Lookups!$A$2:$A$14,0)),"")</f>
        <v/>
      </c>
      <c r="K251" s="39" t="inlineStr">
        <is>
          <t>ET</t>
        </is>
      </c>
      <c r="L251" s="29">
        <f>IF(J251="n/a","n/a",IFERROR(IF(ABS(INDEX(Lookups!$H$2:$H$5,MATCH(J251,Lookups!$G$2:$G$5,0))-INDEX(Lookups!$H$2:$H$5,MATCH(K251,Lookups!$G$2:$G$5,0)))&lt;=1,"Yes","No"),"Check"))</f>
        <v/>
      </c>
      <c r="M251" s="43" t="n">
        <v>0</v>
      </c>
      <c r="N251" s="29" t="inlineStr">
        <is>
          <t>No (Allocated)</t>
        </is>
      </c>
      <c r="O251" s="39" t="n">
        <v>0</v>
      </c>
      <c r="P251" s="27" t="n"/>
      <c r="Q251" s="29">
        <f>IF(N251&lt;&gt;"Yes","n/a",IF(OR(AND(O251&lt;&gt;"",O251&gt;$W$1),P251="Y"),"Yes",IF(O251&lt;&gt;"","No","Pending")))</f>
        <v/>
      </c>
      <c r="R251" s="29" t="n"/>
      <c r="S251" s="29" t="inlineStr">
        <is>
          <t>Carolina Prieto</t>
        </is>
      </c>
      <c r="T251" s="29" t="inlineStr">
        <is>
          <t>State</t>
        </is>
      </c>
      <c r="U251" s="29" t="n"/>
      <c r="X251" s="19" t="inlineStr">
        <is>
          <t>D</t>
        </is>
      </c>
      <c r="Y251" s="19" t="n">
        <v>34.7</v>
      </c>
      <c r="Z251" s="44" t="n">
        <v>0.75</v>
      </c>
      <c r="AA251" s="51" t="n">
        <v>0.5082</v>
      </c>
      <c r="AB251" s="47" t="n">
        <v>4</v>
      </c>
      <c r="AC251" s="19" t="inlineStr">
        <is>
          <t>Maintain</t>
        </is>
      </c>
      <c r="AD251" s="19" t="n">
        <v>0</v>
      </c>
      <c r="AE251" s="19" t="inlineStr">
        <is>
          <t>imputed</t>
        </is>
      </c>
    </row>
    <row r="252" ht="15" customHeight="1" s="20">
      <c r="A252" s="29" t="inlineStr">
        <is>
          <t>Kentucky Justice and Public Safety Cabinet</t>
        </is>
      </c>
      <c r="B252" s="29" t="inlineStr">
        <is>
          <t>Kentucky</t>
        </is>
      </c>
      <c r="C252" s="29" t="inlineStr">
        <is>
          <t>KY</t>
        </is>
      </c>
      <c r="D252" s="29" t="inlineStr">
        <is>
          <t>State</t>
        </is>
      </c>
      <c r="E252" s="29" t="inlineStr">
        <is>
          <t>State AE – KY/TN/AR</t>
        </is>
      </c>
      <c r="F252" s="29" t="inlineStr">
        <is>
          <t>Marcy Castro</t>
        </is>
      </c>
      <c r="G252" s="39" t="inlineStr">
        <is>
          <t>Carolina Prieto</t>
        </is>
      </c>
      <c r="H252" s="29">
        <f>IF(F252="(not in WIP)","New to Enterprise",IF(F252=G252,"No","Yes"))</f>
        <v/>
      </c>
      <c r="I252" s="29">
        <f>IFERROR(INDEX(Lookups!$B$2:$B$14,MATCH(G252,Lookups!$A$2:$A$14,0)),"Not found")</f>
        <v/>
      </c>
      <c r="J252" s="29">
        <f>IFERROR(INDEX(Lookups!$E$2:$E$14,MATCH(G252,Lookups!$A$2:$A$14,0)),"")</f>
        <v/>
      </c>
      <c r="K252" s="39" t="inlineStr">
        <is>
          <t>ET</t>
        </is>
      </c>
      <c r="L252" s="29">
        <f>IF(J252="n/a","n/a",IFERROR(IF(ABS(INDEX(Lookups!$H$2:$H$5,MATCH(J252,Lookups!$G$2:$G$5,0))-INDEX(Lookups!$H$2:$H$5,MATCH(K252,Lookups!$G$2:$G$5,0)))&lt;=1,"Yes","No"),"Check"))</f>
        <v/>
      </c>
      <c r="M252" s="43" t="n">
        <v>0</v>
      </c>
      <c r="N252" s="29" t="inlineStr">
        <is>
          <t>Yes</t>
        </is>
      </c>
      <c r="O252" s="39" t="n">
        <v>0</v>
      </c>
      <c r="P252" s="27" t="n"/>
      <c r="Q252" s="29">
        <f>IF(N252&lt;&gt;"Yes","n/a",IF(OR(AND(O252&lt;&gt;"",O252&gt;$W$1),P252="Y"),"Yes",IF(O252&lt;&gt;"","No","Pending")))</f>
        <v/>
      </c>
      <c r="R252" s="29" t="n"/>
      <c r="S252" s="29" t="inlineStr">
        <is>
          <t>Carolina Prieto</t>
        </is>
      </c>
      <c r="T252" s="29" t="inlineStr">
        <is>
          <t>State</t>
        </is>
      </c>
      <c r="U252" s="29" t="n"/>
      <c r="X252" s="19" t="inlineStr">
        <is>
          <t>D</t>
        </is>
      </c>
      <c r="Y252" s="19" t="n">
        <v>34.7</v>
      </c>
      <c r="Z252" s="44" t="n">
        <v>0.75</v>
      </c>
      <c r="AA252" s="51" t="n">
        <v>0.5082</v>
      </c>
      <c r="AB252" s="47" t="n">
        <v>4</v>
      </c>
      <c r="AC252" s="19" t="inlineStr">
        <is>
          <t>Maintain</t>
        </is>
      </c>
      <c r="AD252" s="19" t="n">
        <v>0.3</v>
      </c>
      <c r="AE252" s="19" t="inlineStr">
        <is>
          <t>imputed</t>
        </is>
      </c>
    </row>
    <row r="253" ht="15" customHeight="1" s="20">
      <c r="A253" s="29" t="inlineStr">
        <is>
          <t>Kentucky Fish &amp; Wildlife</t>
        </is>
      </c>
      <c r="B253" s="29" t="inlineStr">
        <is>
          <t>Kentucky Dept. of Travel &amp; Tourism</t>
        </is>
      </c>
      <c r="C253" s="29" t="inlineStr">
        <is>
          <t>KY</t>
        </is>
      </c>
      <c r="D253" s="29" t="inlineStr">
        <is>
          <t>State</t>
        </is>
      </c>
      <c r="E253" s="29" t="inlineStr">
        <is>
          <t>State AE – KY/TN/AR</t>
        </is>
      </c>
      <c r="F253" s="29" t="inlineStr">
        <is>
          <t>Marcy Castro</t>
        </is>
      </c>
      <c r="G253" s="39" t="inlineStr">
        <is>
          <t>Carolina Prieto</t>
        </is>
      </c>
      <c r="H253" s="29">
        <f>IF(F253="(not in WIP)","New to Enterprise",IF(F253=G253,"No","Yes"))</f>
        <v/>
      </c>
      <c r="I253" s="29">
        <f>IFERROR(INDEX(Lookups!$B$2:$B$14,MATCH(G253,Lookups!$A$2:$A$14,0)),"Not found")</f>
        <v/>
      </c>
      <c r="J253" s="29">
        <f>IFERROR(INDEX(Lookups!$E$2:$E$14,MATCH(G253,Lookups!$A$2:$A$14,0)),"")</f>
        <v/>
      </c>
      <c r="K253" s="39" t="inlineStr">
        <is>
          <t>ET</t>
        </is>
      </c>
      <c r="L253" s="29">
        <f>IF(J253="n/a","n/a",IFERROR(IF(ABS(INDEX(Lookups!$H$2:$H$5,MATCH(J253,Lookups!$G$2:$G$5,0))-INDEX(Lookups!$H$2:$H$5,MATCH(K253,Lookups!$G$2:$G$5,0)))&lt;=1,"Yes","No"),"Check"))</f>
        <v/>
      </c>
      <c r="M253" s="43" t="n">
        <v>0</v>
      </c>
      <c r="N253" s="29" t="inlineStr">
        <is>
          <t>No (Allocated)</t>
        </is>
      </c>
      <c r="O253" s="39" t="n">
        <v>0</v>
      </c>
      <c r="P253" s="27" t="n"/>
      <c r="Q253" s="29">
        <f>IF(N253&lt;&gt;"Yes","n/a",IF(OR(AND(O253&lt;&gt;"",O253&gt;$W$1),P253="Y"),"Yes",IF(O253&lt;&gt;"","No","Pending")))</f>
        <v/>
      </c>
      <c r="R253" s="29" t="n"/>
      <c r="S253" s="29" t="inlineStr">
        <is>
          <t>Carolina Prieto</t>
        </is>
      </c>
      <c r="T253" s="29" t="inlineStr">
        <is>
          <t>State</t>
        </is>
      </c>
      <c r="U253" s="29" t="n"/>
      <c r="X253" s="19" t="inlineStr">
        <is>
          <t>D</t>
        </is>
      </c>
      <c r="Y253" s="19" t="n">
        <v>34.7</v>
      </c>
      <c r="Z253" s="44" t="n">
        <v>0.75</v>
      </c>
      <c r="AA253" s="51" t="n">
        <v>0.5082</v>
      </c>
      <c r="AB253" s="47" t="n">
        <v>4</v>
      </c>
      <c r="AC253" s="19" t="inlineStr">
        <is>
          <t>Maintain</t>
        </is>
      </c>
      <c r="AD253" s="19" t="n">
        <v>0</v>
      </c>
      <c r="AE253" s="19" t="inlineStr">
        <is>
          <t>imputed</t>
        </is>
      </c>
    </row>
    <row r="254" ht="15" customHeight="1" s="20">
      <c r="A254" s="29" t="inlineStr">
        <is>
          <t>Kentucky Public Pensions Authority</t>
        </is>
      </c>
      <c r="B254" s="29" t="inlineStr">
        <is>
          <t>Kentucky</t>
        </is>
      </c>
      <c r="C254" s="29" t="inlineStr">
        <is>
          <t>KY</t>
        </is>
      </c>
      <c r="D254" s="29" t="inlineStr">
        <is>
          <t>State</t>
        </is>
      </c>
      <c r="E254" s="29" t="inlineStr">
        <is>
          <t>State AE – KY/TN/AR</t>
        </is>
      </c>
      <c r="F254" s="29" t="inlineStr">
        <is>
          <t>Marcy Castro</t>
        </is>
      </c>
      <c r="G254" s="39" t="inlineStr">
        <is>
          <t>Carolina Prieto</t>
        </is>
      </c>
      <c r="H254" s="29">
        <f>IF(F254="(not in WIP)","New to Enterprise",IF(F254=G254,"No","Yes"))</f>
        <v/>
      </c>
      <c r="I254" s="29">
        <f>IFERROR(INDEX(Lookups!$B$2:$B$14,MATCH(G254,Lookups!$A$2:$A$14,0)),"Not found")</f>
        <v/>
      </c>
      <c r="J254" s="29">
        <f>IFERROR(INDEX(Lookups!$E$2:$E$14,MATCH(G254,Lookups!$A$2:$A$14,0)),"")</f>
        <v/>
      </c>
      <c r="K254" s="39" t="inlineStr">
        <is>
          <t>ET</t>
        </is>
      </c>
      <c r="L254" s="29">
        <f>IF(J254="n/a","n/a",IFERROR(IF(ABS(INDEX(Lookups!$H$2:$H$5,MATCH(J254,Lookups!$G$2:$G$5,0))-INDEX(Lookups!$H$2:$H$5,MATCH(K254,Lookups!$G$2:$G$5,0)))&lt;=1,"Yes","No"),"Check"))</f>
        <v/>
      </c>
      <c r="M254" s="43" t="n">
        <v>0</v>
      </c>
      <c r="N254" s="29" t="inlineStr">
        <is>
          <t>Yes</t>
        </is>
      </c>
      <c r="O254" s="39" t="n">
        <v>0</v>
      </c>
      <c r="P254" s="27" t="n"/>
      <c r="Q254" s="29">
        <f>IF(N254&lt;&gt;"Yes","n/a",IF(OR(AND(O254&lt;&gt;"",O254&gt;$W$1),P254="Y"),"Yes",IF(O254&lt;&gt;"","No","Pending")))</f>
        <v/>
      </c>
      <c r="R254" s="29" t="n"/>
      <c r="S254" s="29" t="inlineStr">
        <is>
          <t>Carolina Prieto</t>
        </is>
      </c>
      <c r="T254" s="29" t="inlineStr">
        <is>
          <t>State</t>
        </is>
      </c>
      <c r="U254" s="29" t="n"/>
      <c r="X254" s="19" t="inlineStr">
        <is>
          <t>D</t>
        </is>
      </c>
      <c r="Y254" s="19" t="n">
        <v>34.7</v>
      </c>
      <c r="Z254" s="44" t="n">
        <v>0.75</v>
      </c>
      <c r="AA254" s="51" t="n">
        <v>0.5082</v>
      </c>
      <c r="AB254" s="47" t="n">
        <v>4</v>
      </c>
      <c r="AC254" s="19" t="inlineStr">
        <is>
          <t>Maintain</t>
        </is>
      </c>
      <c r="AD254" s="19" t="n">
        <v>0.3</v>
      </c>
      <c r="AE254" s="19" t="inlineStr">
        <is>
          <t>imputed</t>
        </is>
      </c>
    </row>
    <row r="255" ht="15" customHeight="1" s="20">
      <c r="A255" s="29" t="inlineStr">
        <is>
          <t>Kentucky Portal (Kentucky.gov)</t>
        </is>
      </c>
      <c r="B255" s="29" t="inlineStr">
        <is>
          <t>Kentucky</t>
        </is>
      </c>
      <c r="C255" s="29" t="inlineStr">
        <is>
          <t>KY</t>
        </is>
      </c>
      <c r="D255" s="29" t="inlineStr">
        <is>
          <t>State</t>
        </is>
      </c>
      <c r="E255" s="29" t="inlineStr">
        <is>
          <t>State AE – KY/TN/AR</t>
        </is>
      </c>
      <c r="F255" s="29" t="inlineStr">
        <is>
          <t>Marcy Castro</t>
        </is>
      </c>
      <c r="G255" s="39" t="inlineStr">
        <is>
          <t>Carolina Prieto</t>
        </is>
      </c>
      <c r="H255" s="29">
        <f>IF(F255="(not in WIP)","New to Enterprise",IF(F255=G255,"No","Yes"))</f>
        <v/>
      </c>
      <c r="I255" s="29">
        <f>IFERROR(INDEX(Lookups!$B$2:$B$14,MATCH(G255,Lookups!$A$2:$A$14,0)),"Not found")</f>
        <v/>
      </c>
      <c r="J255" s="29">
        <f>IFERROR(INDEX(Lookups!$E$2:$E$14,MATCH(G255,Lookups!$A$2:$A$14,0)),"")</f>
        <v/>
      </c>
      <c r="K255" s="39" t="inlineStr">
        <is>
          <t>ET</t>
        </is>
      </c>
      <c r="L255" s="29">
        <f>IF(J255="n/a","n/a",IFERROR(IF(ABS(INDEX(Lookups!$H$2:$H$5,MATCH(J255,Lookups!$G$2:$G$5,0))-INDEX(Lookups!$H$2:$H$5,MATCH(K255,Lookups!$G$2:$G$5,0)))&lt;=1,"Yes","No"),"Check"))</f>
        <v/>
      </c>
      <c r="M255" s="43" t="n">
        <v>0</v>
      </c>
      <c r="N255" s="29" t="inlineStr">
        <is>
          <t>Yes</t>
        </is>
      </c>
      <c r="O255" s="39" t="n">
        <v>0</v>
      </c>
      <c r="P255" s="27" t="n"/>
      <c r="Q255" s="29">
        <f>IF(N255&lt;&gt;"Yes","n/a",IF(OR(AND(O255&lt;&gt;"",O255&gt;$W$1),P255="Y"),"Yes",IF(O255&lt;&gt;"","No","Pending")))</f>
        <v/>
      </c>
      <c r="R255" s="29" t="n"/>
      <c r="S255" s="29" t="inlineStr">
        <is>
          <t>Carolina Prieto</t>
        </is>
      </c>
      <c r="T255" s="29" t="inlineStr">
        <is>
          <t>State</t>
        </is>
      </c>
      <c r="U255" s="29" t="n"/>
      <c r="X255" s="19" t="inlineStr">
        <is>
          <t>D</t>
        </is>
      </c>
      <c r="Y255" s="19" t="n">
        <v>34.7</v>
      </c>
      <c r="Z255" s="44" t="n">
        <v>0.75</v>
      </c>
      <c r="AA255" s="51" t="n">
        <v>0.5082</v>
      </c>
      <c r="AB255" s="47" t="n">
        <v>4</v>
      </c>
      <c r="AC255" s="19" t="inlineStr">
        <is>
          <t>Maintain</t>
        </is>
      </c>
      <c r="AD255" s="19" t="n">
        <v>0.3</v>
      </c>
      <c r="AE255" s="19" t="inlineStr">
        <is>
          <t>imputed</t>
        </is>
      </c>
    </row>
    <row r="256" ht="15" customHeight="1" s="20">
      <c r="A256" s="29" t="inlineStr">
        <is>
          <t>Kentucky Personnel Cabinet</t>
        </is>
      </c>
      <c r="B256" s="29" t="inlineStr">
        <is>
          <t>Kentucky</t>
        </is>
      </c>
      <c r="C256" s="29" t="inlineStr">
        <is>
          <t>KY</t>
        </is>
      </c>
      <c r="D256" s="29" t="inlineStr">
        <is>
          <t>State</t>
        </is>
      </c>
      <c r="E256" s="29" t="inlineStr">
        <is>
          <t>State AE – KY/TN/AR</t>
        </is>
      </c>
      <c r="F256" s="29" t="inlineStr">
        <is>
          <t>Marcy Castro</t>
        </is>
      </c>
      <c r="G256" s="39" t="inlineStr">
        <is>
          <t>Carolina Prieto</t>
        </is>
      </c>
      <c r="H256" s="29">
        <f>IF(F256="(not in WIP)","New to Enterprise",IF(F256=G256,"No","Yes"))</f>
        <v/>
      </c>
      <c r="I256" s="29">
        <f>IFERROR(INDEX(Lookups!$B$2:$B$14,MATCH(G256,Lookups!$A$2:$A$14,0)),"Not found")</f>
        <v/>
      </c>
      <c r="J256" s="29">
        <f>IFERROR(INDEX(Lookups!$E$2:$E$14,MATCH(G256,Lookups!$A$2:$A$14,0)),"")</f>
        <v/>
      </c>
      <c r="K256" s="39" t="inlineStr">
        <is>
          <t>ET</t>
        </is>
      </c>
      <c r="L256" s="29">
        <f>IF(J256="n/a","n/a",IFERROR(IF(ABS(INDEX(Lookups!$H$2:$H$5,MATCH(J256,Lookups!$G$2:$G$5,0))-INDEX(Lookups!$H$2:$H$5,MATCH(K256,Lookups!$G$2:$G$5,0)))&lt;=1,"Yes","No"),"Check"))</f>
        <v/>
      </c>
      <c r="M256" s="43" t="n">
        <v>0</v>
      </c>
      <c r="N256" s="29" t="inlineStr">
        <is>
          <t>Yes</t>
        </is>
      </c>
      <c r="O256" s="39" t="n">
        <v>0</v>
      </c>
      <c r="P256" s="27" t="n"/>
      <c r="Q256" s="29">
        <f>IF(N256&lt;&gt;"Yes","n/a",IF(OR(AND(O256&lt;&gt;"",O256&gt;$W$1),P256="Y"),"Yes",IF(O256&lt;&gt;"","No","Pending")))</f>
        <v/>
      </c>
      <c r="R256" s="29" t="n"/>
      <c r="S256" s="29" t="inlineStr">
        <is>
          <t>Carolina Prieto</t>
        </is>
      </c>
      <c r="T256" s="29" t="inlineStr">
        <is>
          <t>State</t>
        </is>
      </c>
      <c r="U256" s="29" t="n"/>
      <c r="X256" s="19" t="inlineStr">
        <is>
          <t>D</t>
        </is>
      </c>
      <c r="Y256" s="19" t="n">
        <v>34.7</v>
      </c>
      <c r="Z256" s="44" t="n">
        <v>0.75</v>
      </c>
      <c r="AA256" s="51" t="n">
        <v>0.5082</v>
      </c>
      <c r="AB256" s="47" t="n">
        <v>4</v>
      </c>
      <c r="AC256" s="19" t="inlineStr">
        <is>
          <t>Maintain</t>
        </is>
      </c>
      <c r="AD256" s="19" t="n">
        <v>0.3</v>
      </c>
      <c r="AE256" s="19" t="inlineStr">
        <is>
          <t>imputed</t>
        </is>
      </c>
    </row>
    <row r="257" ht="15" customHeight="1" s="20">
      <c r="A257" s="29" t="inlineStr">
        <is>
          <t>Kentucky Public Protection Cabinet</t>
        </is>
      </c>
      <c r="B257" s="29" t="inlineStr">
        <is>
          <t>Kentucky</t>
        </is>
      </c>
      <c r="C257" s="29" t="inlineStr">
        <is>
          <t>KY</t>
        </is>
      </c>
      <c r="D257" s="29" t="inlineStr">
        <is>
          <t>State</t>
        </is>
      </c>
      <c r="E257" s="29" t="inlineStr">
        <is>
          <t>State AE – KY/TN/AR</t>
        </is>
      </c>
      <c r="F257" s="29" t="inlineStr">
        <is>
          <t>Marcy Castro</t>
        </is>
      </c>
      <c r="G257" s="39" t="inlineStr">
        <is>
          <t>Carolina Prieto</t>
        </is>
      </c>
      <c r="H257" s="29">
        <f>IF(F257="(not in WIP)","New to Enterprise",IF(F257=G257,"No","Yes"))</f>
        <v/>
      </c>
      <c r="I257" s="29">
        <f>IFERROR(INDEX(Lookups!$B$2:$B$14,MATCH(G257,Lookups!$A$2:$A$14,0)),"Not found")</f>
        <v/>
      </c>
      <c r="J257" s="29">
        <f>IFERROR(INDEX(Lookups!$E$2:$E$14,MATCH(G257,Lookups!$A$2:$A$14,0)),"")</f>
        <v/>
      </c>
      <c r="K257" s="39" t="inlineStr">
        <is>
          <t>ET</t>
        </is>
      </c>
      <c r="L257" s="29">
        <f>IF(J257="n/a","n/a",IFERROR(IF(ABS(INDEX(Lookups!$H$2:$H$5,MATCH(J257,Lookups!$G$2:$G$5,0))-INDEX(Lookups!$H$2:$H$5,MATCH(K257,Lookups!$G$2:$G$5,0)))&lt;=1,"Yes","No"),"Check"))</f>
        <v/>
      </c>
      <c r="M257" s="43" t="n">
        <v>0</v>
      </c>
      <c r="N257" s="29" t="inlineStr">
        <is>
          <t>Yes</t>
        </is>
      </c>
      <c r="O257" s="39" t="n">
        <v>0</v>
      </c>
      <c r="P257" s="27" t="n"/>
      <c r="Q257" s="29">
        <f>IF(N257&lt;&gt;"Yes","n/a",IF(OR(AND(O257&lt;&gt;"",O257&gt;$W$1),P257="Y"),"Yes",IF(O257&lt;&gt;"","No","Pending")))</f>
        <v/>
      </c>
      <c r="R257" s="29" t="n"/>
      <c r="S257" s="29" t="inlineStr">
        <is>
          <t>Carolina Prieto</t>
        </is>
      </c>
      <c r="T257" s="29" t="inlineStr">
        <is>
          <t>State</t>
        </is>
      </c>
      <c r="U257" s="29" t="n"/>
      <c r="X257" s="19" t="inlineStr">
        <is>
          <t>D</t>
        </is>
      </c>
      <c r="Y257" s="19" t="n">
        <v>34.7</v>
      </c>
      <c r="Z257" s="44" t="n">
        <v>0.75</v>
      </c>
      <c r="AA257" s="51" t="n">
        <v>0.5082</v>
      </c>
      <c r="AB257" s="47" t="n">
        <v>4</v>
      </c>
      <c r="AC257" s="19" t="inlineStr">
        <is>
          <t>Maintain</t>
        </is>
      </c>
      <c r="AD257" s="19" t="n">
        <v>0.3</v>
      </c>
      <c r="AE257" s="19" t="inlineStr">
        <is>
          <t>imputed</t>
        </is>
      </c>
    </row>
    <row r="258" ht="15" customHeight="1" s="20">
      <c r="A258" s="29" t="inlineStr">
        <is>
          <t>Kentucky Tourism, Arts and Heritage Cabinet</t>
        </is>
      </c>
      <c r="B258" s="29" t="inlineStr">
        <is>
          <t>Kentucky</t>
        </is>
      </c>
      <c r="C258" s="29" t="inlineStr">
        <is>
          <t>KY</t>
        </is>
      </c>
      <c r="D258" s="29" t="inlineStr">
        <is>
          <t>State</t>
        </is>
      </c>
      <c r="E258" s="29" t="inlineStr">
        <is>
          <t>State AE – KY/TN/AR</t>
        </is>
      </c>
      <c r="F258" s="29" t="inlineStr">
        <is>
          <t>Marcy Castro</t>
        </is>
      </c>
      <c r="G258" s="39" t="inlineStr">
        <is>
          <t>Carolina Prieto</t>
        </is>
      </c>
      <c r="H258" s="29">
        <f>IF(F258="(not in WIP)","New to Enterprise",IF(F258=G258,"No","Yes"))</f>
        <v/>
      </c>
      <c r="I258" s="29">
        <f>IFERROR(INDEX(Lookups!$B$2:$B$14,MATCH(G258,Lookups!$A$2:$A$14,0)),"Not found")</f>
        <v/>
      </c>
      <c r="J258" s="29">
        <f>IFERROR(INDEX(Lookups!$E$2:$E$14,MATCH(G258,Lookups!$A$2:$A$14,0)),"")</f>
        <v/>
      </c>
      <c r="K258" s="39" t="inlineStr">
        <is>
          <t>ET</t>
        </is>
      </c>
      <c r="L258" s="29">
        <f>IF(J258="n/a","n/a",IFERROR(IF(ABS(INDEX(Lookups!$H$2:$H$5,MATCH(J258,Lookups!$G$2:$G$5,0))-INDEX(Lookups!$H$2:$H$5,MATCH(K258,Lookups!$G$2:$G$5,0)))&lt;=1,"Yes","No"),"Check"))</f>
        <v/>
      </c>
      <c r="M258" s="43" t="n">
        <v>0</v>
      </c>
      <c r="N258" s="29" t="inlineStr">
        <is>
          <t>Yes</t>
        </is>
      </c>
      <c r="O258" s="39" t="n">
        <v>0</v>
      </c>
      <c r="P258" s="27" t="n"/>
      <c r="Q258" s="29">
        <f>IF(N258&lt;&gt;"Yes","n/a",IF(OR(AND(O258&lt;&gt;"",O258&gt;$W$1),P258="Y"),"Yes",IF(O258&lt;&gt;"","No","Pending")))</f>
        <v/>
      </c>
      <c r="R258" s="29" t="n"/>
      <c r="S258" s="29" t="inlineStr">
        <is>
          <t>Carolina Prieto</t>
        </is>
      </c>
      <c r="T258" s="29" t="inlineStr">
        <is>
          <t>Private Sector</t>
        </is>
      </c>
      <c r="U258" s="29" t="n"/>
      <c r="X258" s="19" t="inlineStr">
        <is>
          <t>D</t>
        </is>
      </c>
      <c r="Y258" s="19" t="n">
        <v>34.7</v>
      </c>
      <c r="Z258" s="44" t="n">
        <v>0.75</v>
      </c>
      <c r="AA258" s="51" t="n">
        <v>0.5082</v>
      </c>
      <c r="AB258" s="47" t="n">
        <v>4</v>
      </c>
      <c r="AC258" s="19" t="inlineStr">
        <is>
          <t>Maintain</t>
        </is>
      </c>
      <c r="AD258" s="19" t="n">
        <v>0.3</v>
      </c>
      <c r="AE258" s="19" t="inlineStr">
        <is>
          <t>imputed</t>
        </is>
      </c>
    </row>
    <row r="259" ht="15" customHeight="1" s="20">
      <c r="A259" s="29" t="inlineStr">
        <is>
          <t>North Dakota Information Technology Department</t>
        </is>
      </c>
      <c r="B259" s="29" t="inlineStr">
        <is>
          <t>North Dakota</t>
        </is>
      </c>
      <c r="C259" s="29" t="inlineStr">
        <is>
          <t>ND</t>
        </is>
      </c>
      <c r="D259" s="29" t="inlineStr">
        <is>
          <t>State</t>
        </is>
      </c>
      <c r="E259" s="29" t="inlineStr">
        <is>
          <t>Scott Mark</t>
        </is>
      </c>
      <c r="F259" s="29" t="inlineStr">
        <is>
          <t>Brooke Minichino</t>
        </is>
      </c>
      <c r="G259" s="39" t="inlineStr">
        <is>
          <t>Carolina Prieto</t>
        </is>
      </c>
      <c r="H259" s="29">
        <f>IF(F259="(not in WIP)","New to Enterprise",IF(F259=G259,"No","Yes"))</f>
        <v/>
      </c>
      <c r="I259" s="29">
        <f>IFERROR(INDEX(Lookups!$B$2:$B$14,MATCH(G259,Lookups!$A$2:$A$14,0)),"Not found")</f>
        <v/>
      </c>
      <c r="J259" s="29">
        <f>IFERROR(INDEX(Lookups!$E$2:$E$14,MATCH(G259,Lookups!$A$2:$A$14,0)),"")</f>
        <v/>
      </c>
      <c r="K259" s="39" t="inlineStr">
        <is>
          <t>CT</t>
        </is>
      </c>
      <c r="L259" s="29">
        <f>IF(J259="n/a","n/a",IFERROR(IF(ABS(INDEX(Lookups!$H$2:$H$5,MATCH(J259,Lookups!$G$2:$G$5,0))-INDEX(Lookups!$H$2:$H$5,MATCH(K259,Lookups!$G$2:$G$5,0)))&lt;=1,"Yes","No"),"Check"))</f>
        <v/>
      </c>
      <c r="M259" s="43" t="n">
        <v>360241.9</v>
      </c>
      <c r="N259" s="29" t="inlineStr">
        <is>
          <t>Yes</t>
        </is>
      </c>
      <c r="O259" s="39" t="n">
        <v>3</v>
      </c>
      <c r="P259" s="27" t="n"/>
      <c r="Q259" s="29">
        <f>IF(N259&lt;&gt;"Yes","n/a",IF(OR(AND(O259&lt;&gt;"",O259&gt;$W$1),P259="Y"),"Yes",IF(O259&lt;&gt;"","No","Pending")))</f>
        <v/>
      </c>
      <c r="R259" s="29" t="n"/>
      <c r="S259" s="29" t="inlineStr">
        <is>
          <t>Carolina Prieto</t>
        </is>
      </c>
      <c r="T259" s="29" t="inlineStr">
        <is>
          <t>State</t>
        </is>
      </c>
      <c r="U259" s="29" t="inlineStr">
        <is>
          <t>Email &amp; SMS, Engagement &amp; Sentiment, Recurring Services</t>
        </is>
      </c>
      <c r="X259" s="19" t="inlineStr">
        <is>
          <t>D</t>
        </is>
      </c>
      <c r="Y259" s="19" t="n">
        <v>34.7</v>
      </c>
      <c r="Z259" s="44" t="n">
        <v>0.625</v>
      </c>
      <c r="AA259" s="51" t="n">
        <v>0.4582</v>
      </c>
      <c r="AB259" s="46" t="n">
        <v>3</v>
      </c>
      <c r="AC259" s="19" t="inlineStr">
        <is>
          <t>Defend</t>
        </is>
      </c>
      <c r="AD259" s="19" t="n">
        <v>0.5</v>
      </c>
      <c r="AE259" s="19" t="inlineStr">
        <is>
          <t>reported</t>
        </is>
      </c>
    </row>
    <row r="260" ht="15" customHeight="1" s="20">
      <c r="A260" s="29" t="inlineStr">
        <is>
          <t>North Dakota Workforce Safety &amp; Insurance</t>
        </is>
      </c>
      <c r="B260" s="29" t="inlineStr">
        <is>
          <t>North Dakota</t>
        </is>
      </c>
      <c r="C260" s="29" t="inlineStr">
        <is>
          <t>ND</t>
        </is>
      </c>
      <c r="D260" s="29" t="inlineStr">
        <is>
          <t>State</t>
        </is>
      </c>
      <c r="E260" s="29" t="inlineStr">
        <is>
          <t>Scott Mark</t>
        </is>
      </c>
      <c r="F260" s="29" t="inlineStr">
        <is>
          <t>Brooke Minichino</t>
        </is>
      </c>
      <c r="G260" s="39" t="inlineStr">
        <is>
          <t>Carolina Prieto</t>
        </is>
      </c>
      <c r="H260" s="29">
        <f>IF(F260="(not in WIP)","New to Enterprise",IF(F260=G260,"No","Yes"))</f>
        <v/>
      </c>
      <c r="I260" s="29">
        <f>IFERROR(INDEX(Lookups!$B$2:$B$14,MATCH(G260,Lookups!$A$2:$A$14,0)),"Not found")</f>
        <v/>
      </c>
      <c r="J260" s="29">
        <f>IFERROR(INDEX(Lookups!$E$2:$E$14,MATCH(G260,Lookups!$A$2:$A$14,0)),"")</f>
        <v/>
      </c>
      <c r="K260" s="39" t="inlineStr">
        <is>
          <t>CT</t>
        </is>
      </c>
      <c r="L260" s="29">
        <f>IF(J260="n/a","n/a",IFERROR(IF(ABS(INDEX(Lookups!$H$2:$H$5,MATCH(J260,Lookups!$G$2:$G$5,0))-INDEX(Lookups!$H$2:$H$5,MATCH(K260,Lookups!$G$2:$G$5,0)))&lt;=1,"Yes","No"),"Check"))</f>
        <v/>
      </c>
      <c r="M260" s="43" t="n">
        <v>18961.02</v>
      </c>
      <c r="N260" s="29" t="inlineStr">
        <is>
          <t>Yes</t>
        </is>
      </c>
      <c r="O260" s="39" t="n">
        <v>1</v>
      </c>
      <c r="P260" s="27" t="n"/>
      <c r="Q260" s="29">
        <f>IF(N260&lt;&gt;"Yes","n/a",IF(OR(AND(O260&lt;&gt;"",O260&gt;$W$1),P260="Y"),"Yes",IF(O260&lt;&gt;"","No","Pending")))</f>
        <v/>
      </c>
      <c r="R260" s="29" t="n"/>
      <c r="S260" s="29" t="inlineStr">
        <is>
          <t>Carolina Prieto</t>
        </is>
      </c>
      <c r="T260" s="29" t="inlineStr">
        <is>
          <t>State</t>
        </is>
      </c>
      <c r="U260" s="29" t="inlineStr">
        <is>
          <t>Email &amp; SMS</t>
        </is>
      </c>
      <c r="X260" s="19" t="inlineStr">
        <is>
          <t>D</t>
        </is>
      </c>
      <c r="Y260" s="19" t="n">
        <v>34.7</v>
      </c>
      <c r="Z260" s="44" t="n">
        <v>0.875</v>
      </c>
      <c r="AA260" s="51" t="n">
        <v>0.5582</v>
      </c>
      <c r="AB260" s="47" t="n">
        <v>4</v>
      </c>
      <c r="AC260" s="19" t="inlineStr">
        <is>
          <t>Maintain</t>
        </is>
      </c>
      <c r="AD260" s="19" t="n">
        <v>0.3</v>
      </c>
      <c r="AE260" s="19" t="inlineStr">
        <is>
          <t>reported</t>
        </is>
      </c>
    </row>
    <row r="261" ht="15" customHeight="1" s="20">
      <c r="A261" s="29" t="inlineStr">
        <is>
          <t>North Dakota Department of Health and Human Services</t>
        </is>
      </c>
      <c r="B261" s="29" t="inlineStr">
        <is>
          <t>North Dakota</t>
        </is>
      </c>
      <c r="C261" s="29" t="inlineStr">
        <is>
          <t>ND</t>
        </is>
      </c>
      <c r="D261" s="29" t="inlineStr">
        <is>
          <t>State</t>
        </is>
      </c>
      <c r="E261" s="29" t="inlineStr">
        <is>
          <t>Scott Mark</t>
        </is>
      </c>
      <c r="F261" s="29" t="inlineStr">
        <is>
          <t>Brooke Minichino</t>
        </is>
      </c>
      <c r="G261" s="39" t="inlineStr">
        <is>
          <t>Carolina Prieto</t>
        </is>
      </c>
      <c r="H261" s="29">
        <f>IF(F261="(not in WIP)","New to Enterprise",IF(F261=G261,"No","Yes"))</f>
        <v/>
      </c>
      <c r="I261" s="29">
        <f>IFERROR(INDEX(Lookups!$B$2:$B$14,MATCH(G261,Lookups!$A$2:$A$14,0)),"Not found")</f>
        <v/>
      </c>
      <c r="J261" s="29">
        <f>IFERROR(INDEX(Lookups!$E$2:$E$14,MATCH(G261,Lookups!$A$2:$A$14,0)),"")</f>
        <v/>
      </c>
      <c r="K261" s="39" t="inlineStr">
        <is>
          <t>CT</t>
        </is>
      </c>
      <c r="L261" s="29">
        <f>IF(J261="n/a","n/a",IFERROR(IF(ABS(INDEX(Lookups!$H$2:$H$5,MATCH(J261,Lookups!$G$2:$G$5,0))-INDEX(Lookups!$H$2:$H$5,MATCH(K261,Lookups!$G$2:$G$5,0)))&lt;=1,"Yes","No"),"Check"))</f>
        <v/>
      </c>
      <c r="M261" s="43" t="n">
        <v>11496.65</v>
      </c>
      <c r="N261" s="29" t="inlineStr">
        <is>
          <t>Yes</t>
        </is>
      </c>
      <c r="O261" s="39" t="n">
        <v>1</v>
      </c>
      <c r="P261" s="27" t="n"/>
      <c r="Q261" s="29">
        <f>IF(N261&lt;&gt;"Yes","n/a",IF(OR(AND(O261&lt;&gt;"",O261&gt;$W$1),P261="Y"),"Yes",IF(O261&lt;&gt;"","No","Pending")))</f>
        <v/>
      </c>
      <c r="R261" s="29" t="n"/>
      <c r="S261" s="29" t="inlineStr">
        <is>
          <t>Carolina Prieto</t>
        </is>
      </c>
      <c r="T261" s="29" t="inlineStr">
        <is>
          <t>State</t>
        </is>
      </c>
      <c r="U261" s="29" t="inlineStr">
        <is>
          <t>Email &amp; SMS</t>
        </is>
      </c>
      <c r="X261" s="19" t="inlineStr">
        <is>
          <t>D</t>
        </is>
      </c>
      <c r="Y261" s="19" t="n">
        <v>34.7</v>
      </c>
      <c r="Z261" s="44" t="n">
        <v>0.875</v>
      </c>
      <c r="AA261" s="51" t="n">
        <v>0.5582</v>
      </c>
      <c r="AB261" s="47" t="n">
        <v>4</v>
      </c>
      <c r="AC261" s="19" t="inlineStr">
        <is>
          <t>Maintain</t>
        </is>
      </c>
      <c r="AD261" s="19" t="n">
        <v>0.3</v>
      </c>
      <c r="AE261" s="19" t="inlineStr">
        <is>
          <t>reported</t>
        </is>
      </c>
    </row>
    <row r="262" ht="15" customHeight="1" s="20">
      <c r="A262" s="29" t="inlineStr">
        <is>
          <t>North Dakota Department of Commerce</t>
        </is>
      </c>
      <c r="B262" s="29" t="inlineStr">
        <is>
          <t>North Dakota</t>
        </is>
      </c>
      <c r="C262" s="29" t="inlineStr">
        <is>
          <t>ND</t>
        </is>
      </c>
      <c r="D262" s="29" t="inlineStr">
        <is>
          <t>State</t>
        </is>
      </c>
      <c r="E262" s="29" t="inlineStr">
        <is>
          <t>Scott Mark</t>
        </is>
      </c>
      <c r="F262" s="29" t="inlineStr">
        <is>
          <t>Brooke Minichino</t>
        </is>
      </c>
      <c r="G262" s="39" t="inlineStr">
        <is>
          <t>Carolina Prieto</t>
        </is>
      </c>
      <c r="H262" s="29">
        <f>IF(F262="(not in WIP)","New to Enterprise",IF(F262=G262,"No","Yes"))</f>
        <v/>
      </c>
      <c r="I262" s="29">
        <f>IFERROR(INDEX(Lookups!$B$2:$B$14,MATCH(G262,Lookups!$A$2:$A$14,0)),"Not found")</f>
        <v/>
      </c>
      <c r="J262" s="29">
        <f>IFERROR(INDEX(Lookups!$E$2:$E$14,MATCH(G262,Lookups!$A$2:$A$14,0)),"")</f>
        <v/>
      </c>
      <c r="K262" s="39" t="inlineStr">
        <is>
          <t>CT</t>
        </is>
      </c>
      <c r="L262" s="29">
        <f>IF(J262="n/a","n/a",IFERROR(IF(ABS(INDEX(Lookups!$H$2:$H$5,MATCH(J262,Lookups!$G$2:$G$5,0))-INDEX(Lookups!$H$2:$H$5,MATCH(K262,Lookups!$G$2:$G$5,0)))&lt;=1,"Yes","No"),"Check"))</f>
        <v/>
      </c>
      <c r="M262" s="43" t="n">
        <v>4134.38</v>
      </c>
      <c r="N262" s="29" t="inlineStr">
        <is>
          <t>Yes</t>
        </is>
      </c>
      <c r="O262" s="39" t="n">
        <v>1</v>
      </c>
      <c r="P262" s="27" t="n"/>
      <c r="Q262" s="29">
        <f>IF(N262&lt;&gt;"Yes","n/a",IF(OR(AND(O262&lt;&gt;"",O262&gt;$W$1),P262="Y"),"Yes",IF(O262&lt;&gt;"","No","Pending")))</f>
        <v/>
      </c>
      <c r="R262" s="29" t="n"/>
      <c r="S262" s="29" t="inlineStr">
        <is>
          <t>Carolina Prieto</t>
        </is>
      </c>
      <c r="T262" s="29" t="inlineStr">
        <is>
          <t>State</t>
        </is>
      </c>
      <c r="U262" s="29" t="inlineStr">
        <is>
          <t>Email &amp; SMS</t>
        </is>
      </c>
      <c r="X262" s="19" t="inlineStr">
        <is>
          <t>D</t>
        </is>
      </c>
      <c r="Y262" s="19" t="n">
        <v>34.7</v>
      </c>
      <c r="Z262" s="44" t="n">
        <v>0.875</v>
      </c>
      <c r="AA262" s="51" t="n">
        <v>0.5582</v>
      </c>
      <c r="AB262" s="47" t="n">
        <v>4</v>
      </c>
      <c r="AC262" s="19" t="inlineStr">
        <is>
          <t>Maintain</t>
        </is>
      </c>
      <c r="AD262" s="19" t="n">
        <v>0.3</v>
      </c>
      <c r="AE262" s="19" t="inlineStr">
        <is>
          <t>reported</t>
        </is>
      </c>
    </row>
    <row r="263" ht="15" customHeight="1" s="20">
      <c r="A263" s="29" t="inlineStr">
        <is>
          <t>North Dakota Retirement and Investment Office</t>
        </is>
      </c>
      <c r="B263" s="29" t="inlineStr">
        <is>
          <t>North Dakota</t>
        </is>
      </c>
      <c r="C263" s="29" t="inlineStr">
        <is>
          <t>ND</t>
        </is>
      </c>
      <c r="D263" s="29" t="inlineStr">
        <is>
          <t>State</t>
        </is>
      </c>
      <c r="E263" s="29" t="inlineStr">
        <is>
          <t>Scott Mark</t>
        </is>
      </c>
      <c r="F263" s="29" t="inlineStr">
        <is>
          <t>Brooke Minichino</t>
        </is>
      </c>
      <c r="G263" s="39" t="inlineStr">
        <is>
          <t>Carolina Prieto</t>
        </is>
      </c>
      <c r="H263" s="29">
        <f>IF(F263="(not in WIP)","New to Enterprise",IF(F263=G263,"No","Yes"))</f>
        <v/>
      </c>
      <c r="I263" s="29">
        <f>IFERROR(INDEX(Lookups!$B$2:$B$14,MATCH(G263,Lookups!$A$2:$A$14,0)),"Not found")</f>
        <v/>
      </c>
      <c r="J263" s="29">
        <f>IFERROR(INDEX(Lookups!$E$2:$E$14,MATCH(G263,Lookups!$A$2:$A$14,0)),"")</f>
        <v/>
      </c>
      <c r="K263" s="39" t="inlineStr">
        <is>
          <t>CT</t>
        </is>
      </c>
      <c r="L263" s="29">
        <f>IF(J263="n/a","n/a",IFERROR(IF(ABS(INDEX(Lookups!$H$2:$H$5,MATCH(J263,Lookups!$G$2:$G$5,0))-INDEX(Lookups!$H$2:$H$5,MATCH(K263,Lookups!$G$2:$G$5,0)))&lt;=1,"Yes","No"),"Check"))</f>
        <v/>
      </c>
      <c r="M263" s="43" t="n">
        <v>3750</v>
      </c>
      <c r="N263" s="29" t="inlineStr">
        <is>
          <t>Yes</t>
        </is>
      </c>
      <c r="O263" s="39" t="n">
        <v>1</v>
      </c>
      <c r="P263" s="27" t="n"/>
      <c r="Q263" s="29">
        <f>IF(N263&lt;&gt;"Yes","n/a",IF(OR(AND(O263&lt;&gt;"",O263&gt;$W$1),P263="Y"),"Yes",IF(O263&lt;&gt;"","No","Pending")))</f>
        <v/>
      </c>
      <c r="R263" s="29" t="n"/>
      <c r="S263" s="29" t="inlineStr">
        <is>
          <t>Carolina Prieto</t>
        </is>
      </c>
      <c r="T263" s="29" t="inlineStr">
        <is>
          <t>State</t>
        </is>
      </c>
      <c r="U263" s="29" t="inlineStr">
        <is>
          <t>Email &amp; SMS</t>
        </is>
      </c>
      <c r="X263" s="19" t="inlineStr">
        <is>
          <t>D</t>
        </is>
      </c>
      <c r="Y263" s="19" t="n">
        <v>34.7</v>
      </c>
      <c r="Z263" s="44" t="n">
        <v>0.875</v>
      </c>
      <c r="AA263" s="51" t="n">
        <v>0.5582</v>
      </c>
      <c r="AB263" s="47" t="n">
        <v>4</v>
      </c>
      <c r="AC263" s="19" t="inlineStr">
        <is>
          <t>Maintain</t>
        </is>
      </c>
      <c r="AD263" s="19" t="n">
        <v>0.3</v>
      </c>
      <c r="AE263" s="19" t="inlineStr">
        <is>
          <t>reported</t>
        </is>
      </c>
    </row>
    <row r="264" ht="15" customHeight="1" s="20">
      <c r="A264" s="29" t="inlineStr">
        <is>
          <t>North Dakota Department of Career and Technical Education</t>
        </is>
      </c>
      <c r="B264" s="29" t="inlineStr">
        <is>
          <t>North Dakota</t>
        </is>
      </c>
      <c r="C264" s="29" t="inlineStr">
        <is>
          <t>ND</t>
        </is>
      </c>
      <c r="D264" s="29" t="inlineStr">
        <is>
          <t>State</t>
        </is>
      </c>
      <c r="E264" s="29" t="inlineStr">
        <is>
          <t>Scott Mark</t>
        </is>
      </c>
      <c r="F264" s="29" t="inlineStr">
        <is>
          <t>Brooke Minichino</t>
        </is>
      </c>
      <c r="G264" s="39" t="inlineStr">
        <is>
          <t>Carolina Prieto</t>
        </is>
      </c>
      <c r="H264" s="29">
        <f>IF(F264="(not in WIP)","New to Enterprise",IF(F264=G264,"No","Yes"))</f>
        <v/>
      </c>
      <c r="I264" s="29">
        <f>IFERROR(INDEX(Lookups!$B$2:$B$14,MATCH(G264,Lookups!$A$2:$A$14,0)),"Not found")</f>
        <v/>
      </c>
      <c r="J264" s="29">
        <f>IFERROR(INDEX(Lookups!$E$2:$E$14,MATCH(G264,Lookups!$A$2:$A$14,0)),"")</f>
        <v/>
      </c>
      <c r="K264" s="39" t="inlineStr">
        <is>
          <t>CT</t>
        </is>
      </c>
      <c r="L264" s="29">
        <f>IF(J264="n/a","n/a",IFERROR(IF(ABS(INDEX(Lookups!$H$2:$H$5,MATCH(J264,Lookups!$G$2:$G$5,0))-INDEX(Lookups!$H$2:$H$5,MATCH(K264,Lookups!$G$2:$G$5,0)))&lt;=1,"Yes","No"),"Check"))</f>
        <v/>
      </c>
      <c r="M264" s="43" t="n">
        <v>0</v>
      </c>
      <c r="N264" s="29" t="inlineStr">
        <is>
          <t>No (Allocated)</t>
        </is>
      </c>
      <c r="O264" s="39" t="n">
        <v>0</v>
      </c>
      <c r="P264" s="27" t="n"/>
      <c r="Q264" s="29">
        <f>IF(N264&lt;&gt;"Yes","n/a",IF(OR(AND(O264&lt;&gt;"",O264&gt;$W$1),P264="Y"),"Yes",IF(O264&lt;&gt;"","No","Pending")))</f>
        <v/>
      </c>
      <c r="R264" s="29" t="n"/>
      <c r="S264" s="29" t="inlineStr">
        <is>
          <t>Carolina Prieto</t>
        </is>
      </c>
      <c r="T264" s="29" t="inlineStr">
        <is>
          <t>State</t>
        </is>
      </c>
      <c r="U264" s="29" t="n"/>
      <c r="X264" s="19" t="inlineStr">
        <is>
          <t>D</t>
        </is>
      </c>
      <c r="Y264" s="19" t="n">
        <v>34.7</v>
      </c>
      <c r="Z264" s="44" t="n">
        <v>0.75</v>
      </c>
      <c r="AA264" s="51" t="n">
        <v>0.5082</v>
      </c>
      <c r="AB264" s="47" t="n">
        <v>4</v>
      </c>
      <c r="AC264" s="19" t="inlineStr">
        <is>
          <t>Maintain</t>
        </is>
      </c>
      <c r="AD264" s="19" t="n">
        <v>0</v>
      </c>
      <c r="AE264" s="19" t="inlineStr">
        <is>
          <t>imputed</t>
        </is>
      </c>
    </row>
    <row r="265" ht="15" customHeight="1" s="20">
      <c r="A265" s="29" t="inlineStr">
        <is>
          <t>North Dakota Department of Agriculture</t>
        </is>
      </c>
      <c r="B265" s="29" t="inlineStr">
        <is>
          <t>North Dakota</t>
        </is>
      </c>
      <c r="C265" s="29" t="inlineStr">
        <is>
          <t>ND</t>
        </is>
      </c>
      <c r="D265" s="29" t="inlineStr">
        <is>
          <t>State</t>
        </is>
      </c>
      <c r="E265" s="29" t="inlineStr">
        <is>
          <t>Scott Mark</t>
        </is>
      </c>
      <c r="F265" s="29" t="inlineStr">
        <is>
          <t>Brooke Minichino</t>
        </is>
      </c>
      <c r="G265" s="39" t="inlineStr">
        <is>
          <t>Carolina Prieto</t>
        </is>
      </c>
      <c r="H265" s="29">
        <f>IF(F265="(not in WIP)","New to Enterprise",IF(F265=G265,"No","Yes"))</f>
        <v/>
      </c>
      <c r="I265" s="29">
        <f>IFERROR(INDEX(Lookups!$B$2:$B$14,MATCH(G265,Lookups!$A$2:$A$14,0)),"Not found")</f>
        <v/>
      </c>
      <c r="J265" s="29">
        <f>IFERROR(INDEX(Lookups!$E$2:$E$14,MATCH(G265,Lookups!$A$2:$A$14,0)),"")</f>
        <v/>
      </c>
      <c r="K265" s="39" t="inlineStr">
        <is>
          <t>CT</t>
        </is>
      </c>
      <c r="L265" s="29">
        <f>IF(J265="n/a","n/a",IFERROR(IF(ABS(INDEX(Lookups!$H$2:$H$5,MATCH(J265,Lookups!$G$2:$G$5,0))-INDEX(Lookups!$H$2:$H$5,MATCH(K265,Lookups!$G$2:$G$5,0)))&lt;=1,"Yes","No"),"Check"))</f>
        <v/>
      </c>
      <c r="M265" s="43" t="n">
        <v>0</v>
      </c>
      <c r="N265" s="29" t="inlineStr">
        <is>
          <t>Yes</t>
        </is>
      </c>
      <c r="O265" s="39" t="n">
        <v>0</v>
      </c>
      <c r="P265" s="27" t="n"/>
      <c r="Q265" s="29">
        <f>IF(N265&lt;&gt;"Yes","n/a",IF(OR(AND(O265&lt;&gt;"",O265&gt;$W$1),P265="Y"),"Yes",IF(O265&lt;&gt;"","No","Pending")))</f>
        <v/>
      </c>
      <c r="R265" s="29" t="n"/>
      <c r="S265" s="29" t="inlineStr">
        <is>
          <t>Carolina Prieto</t>
        </is>
      </c>
      <c r="T265" s="29" t="inlineStr">
        <is>
          <t>State</t>
        </is>
      </c>
      <c r="U265" s="29" t="n"/>
      <c r="X265" s="19" t="inlineStr">
        <is>
          <t>D</t>
        </is>
      </c>
      <c r="Y265" s="19" t="n">
        <v>34.7</v>
      </c>
      <c r="Z265" s="44" t="n">
        <v>0.75</v>
      </c>
      <c r="AA265" s="51" t="n">
        <v>0.5082</v>
      </c>
      <c r="AB265" s="47" t="n">
        <v>4</v>
      </c>
      <c r="AC265" s="19" t="inlineStr">
        <is>
          <t>Maintain</t>
        </is>
      </c>
      <c r="AD265" s="19" t="n">
        <v>0.3</v>
      </c>
      <c r="AE265" s="19" t="inlineStr">
        <is>
          <t>imputed</t>
        </is>
      </c>
    </row>
    <row r="266" ht="15" customHeight="1" s="20">
      <c r="A266" s="29" t="inlineStr">
        <is>
          <t>North Dakota Department of Emergency Services</t>
        </is>
      </c>
      <c r="B266" s="29" t="inlineStr">
        <is>
          <t>North Dakota</t>
        </is>
      </c>
      <c r="C266" s="29" t="inlineStr">
        <is>
          <t>ND</t>
        </is>
      </c>
      <c r="D266" s="29" t="inlineStr">
        <is>
          <t>State</t>
        </is>
      </c>
      <c r="E266" s="29" t="inlineStr">
        <is>
          <t>Scott Mark</t>
        </is>
      </c>
      <c r="F266" s="29" t="inlineStr">
        <is>
          <t>Brooke Minichino</t>
        </is>
      </c>
      <c r="G266" s="39" t="inlineStr">
        <is>
          <t>Carolina Prieto</t>
        </is>
      </c>
      <c r="H266" s="29">
        <f>IF(F266="(not in WIP)","New to Enterprise",IF(F266=G266,"No","Yes"))</f>
        <v/>
      </c>
      <c r="I266" s="29">
        <f>IFERROR(INDEX(Lookups!$B$2:$B$14,MATCH(G266,Lookups!$A$2:$A$14,0)),"Not found")</f>
        <v/>
      </c>
      <c r="J266" s="29">
        <f>IFERROR(INDEX(Lookups!$E$2:$E$14,MATCH(G266,Lookups!$A$2:$A$14,0)),"")</f>
        <v/>
      </c>
      <c r="K266" s="39" t="inlineStr">
        <is>
          <t>CT</t>
        </is>
      </c>
      <c r="L266" s="29">
        <f>IF(J266="n/a","n/a",IFERROR(IF(ABS(INDEX(Lookups!$H$2:$H$5,MATCH(J266,Lookups!$G$2:$G$5,0))-INDEX(Lookups!$H$2:$H$5,MATCH(K266,Lookups!$G$2:$G$5,0)))&lt;=1,"Yes","No"),"Check"))</f>
        <v/>
      </c>
      <c r="M266" s="43" t="n">
        <v>0</v>
      </c>
      <c r="N266" s="29" t="inlineStr">
        <is>
          <t>No (Allocated)</t>
        </is>
      </c>
      <c r="O266" s="39" t="n">
        <v>0</v>
      </c>
      <c r="P266" s="27" t="n"/>
      <c r="Q266" s="29">
        <f>IF(N266&lt;&gt;"Yes","n/a",IF(OR(AND(O266&lt;&gt;"",O266&gt;$W$1),P266="Y"),"Yes",IF(O266&lt;&gt;"","No","Pending")))</f>
        <v/>
      </c>
      <c r="R266" s="29" t="n"/>
      <c r="S266" s="29" t="inlineStr">
        <is>
          <t>Carolina Prieto</t>
        </is>
      </c>
      <c r="T266" s="29" t="inlineStr">
        <is>
          <t>State</t>
        </is>
      </c>
      <c r="U266" s="29" t="n"/>
      <c r="X266" s="19" t="inlineStr">
        <is>
          <t>D</t>
        </is>
      </c>
      <c r="Y266" s="19" t="n">
        <v>34.7</v>
      </c>
      <c r="Z266" s="44" t="n">
        <v>0.75</v>
      </c>
      <c r="AA266" s="51" t="n">
        <v>0.5082</v>
      </c>
      <c r="AB266" s="47" t="n">
        <v>4</v>
      </c>
      <c r="AC266" s="19" t="inlineStr">
        <is>
          <t>Maintain</t>
        </is>
      </c>
      <c r="AD266" s="19" t="n">
        <v>0</v>
      </c>
      <c r="AE266" s="19" t="inlineStr">
        <is>
          <t>imputed</t>
        </is>
      </c>
    </row>
    <row r="267" ht="15" customHeight="1" s="20">
      <c r="A267" s="29" t="inlineStr">
        <is>
          <t>North Dakota Department of Public Instruction</t>
        </is>
      </c>
      <c r="B267" s="29" t="inlineStr">
        <is>
          <t>North Dakota</t>
        </is>
      </c>
      <c r="C267" s="29" t="inlineStr">
        <is>
          <t>ND</t>
        </is>
      </c>
      <c r="D267" s="29" t="inlineStr">
        <is>
          <t>State</t>
        </is>
      </c>
      <c r="E267" s="29" t="inlineStr">
        <is>
          <t>Scott Mark</t>
        </is>
      </c>
      <c r="F267" s="29" t="inlineStr">
        <is>
          <t>Brooke Minichino</t>
        </is>
      </c>
      <c r="G267" s="39" t="inlineStr">
        <is>
          <t>Carolina Prieto</t>
        </is>
      </c>
      <c r="H267" s="29">
        <f>IF(F267="(not in WIP)","New to Enterprise",IF(F267=G267,"No","Yes"))</f>
        <v/>
      </c>
      <c r="I267" s="29">
        <f>IFERROR(INDEX(Lookups!$B$2:$B$14,MATCH(G267,Lookups!$A$2:$A$14,0)),"Not found")</f>
        <v/>
      </c>
      <c r="J267" s="29">
        <f>IFERROR(INDEX(Lookups!$E$2:$E$14,MATCH(G267,Lookups!$A$2:$A$14,0)),"")</f>
        <v/>
      </c>
      <c r="K267" s="39" t="inlineStr">
        <is>
          <t>CT</t>
        </is>
      </c>
      <c r="L267" s="29">
        <f>IF(J267="n/a","n/a",IFERROR(IF(ABS(INDEX(Lookups!$H$2:$H$5,MATCH(J267,Lookups!$G$2:$G$5,0))-INDEX(Lookups!$H$2:$H$5,MATCH(K267,Lookups!$G$2:$G$5,0)))&lt;=1,"Yes","No"),"Check"))</f>
        <v/>
      </c>
      <c r="M267" s="43" t="n">
        <v>0</v>
      </c>
      <c r="N267" s="29" t="inlineStr">
        <is>
          <t>No (Allocated)</t>
        </is>
      </c>
      <c r="O267" s="39" t="n">
        <v>0</v>
      </c>
      <c r="P267" s="27" t="n"/>
      <c r="Q267" s="29">
        <f>IF(N267&lt;&gt;"Yes","n/a",IF(OR(AND(O267&lt;&gt;"",O267&gt;$W$1),P267="Y"),"Yes",IF(O267&lt;&gt;"","No","Pending")))</f>
        <v/>
      </c>
      <c r="R267" s="29" t="n"/>
      <c r="S267" s="29" t="inlineStr">
        <is>
          <t>Carolina Prieto</t>
        </is>
      </c>
      <c r="T267" s="29" t="inlineStr">
        <is>
          <t>State</t>
        </is>
      </c>
      <c r="U267" s="29" t="n"/>
      <c r="X267" s="19" t="inlineStr">
        <is>
          <t>D</t>
        </is>
      </c>
      <c r="Y267" s="19" t="n">
        <v>34.7</v>
      </c>
      <c r="Z267" s="44" t="n">
        <v>0.75</v>
      </c>
      <c r="AA267" s="51" t="n">
        <v>0.5082</v>
      </c>
      <c r="AB267" s="47" t="n">
        <v>4</v>
      </c>
      <c r="AC267" s="19" t="inlineStr">
        <is>
          <t>Maintain</t>
        </is>
      </c>
      <c r="AD267" s="19" t="n">
        <v>0</v>
      </c>
      <c r="AE267" s="19" t="inlineStr">
        <is>
          <t>imputed</t>
        </is>
      </c>
    </row>
    <row r="268" ht="15" customHeight="1" s="20">
      <c r="A268" s="29" t="inlineStr">
        <is>
          <t>North Dakota Department of Environmental Quality</t>
        </is>
      </c>
      <c r="B268" s="29" t="inlineStr">
        <is>
          <t>North Dakota</t>
        </is>
      </c>
      <c r="C268" s="29" t="inlineStr">
        <is>
          <t>ND</t>
        </is>
      </c>
      <c r="D268" s="29" t="inlineStr">
        <is>
          <t>State</t>
        </is>
      </c>
      <c r="E268" s="29" t="inlineStr">
        <is>
          <t>Scott Mark</t>
        </is>
      </c>
      <c r="F268" s="29" t="inlineStr">
        <is>
          <t>Brooke Minichino</t>
        </is>
      </c>
      <c r="G268" s="39" t="inlineStr">
        <is>
          <t>Carolina Prieto</t>
        </is>
      </c>
      <c r="H268" s="29">
        <f>IF(F268="(not in WIP)","New to Enterprise",IF(F268=G268,"No","Yes"))</f>
        <v/>
      </c>
      <c r="I268" s="29">
        <f>IFERROR(INDEX(Lookups!$B$2:$B$14,MATCH(G268,Lookups!$A$2:$A$14,0)),"Not found")</f>
        <v/>
      </c>
      <c r="J268" s="29">
        <f>IFERROR(INDEX(Lookups!$E$2:$E$14,MATCH(G268,Lookups!$A$2:$A$14,0)),"")</f>
        <v/>
      </c>
      <c r="K268" s="39" t="inlineStr">
        <is>
          <t>CT</t>
        </is>
      </c>
      <c r="L268" s="29">
        <f>IF(J268="n/a","n/a",IFERROR(IF(ABS(INDEX(Lookups!$H$2:$H$5,MATCH(J268,Lookups!$G$2:$G$5,0))-INDEX(Lookups!$H$2:$H$5,MATCH(K268,Lookups!$G$2:$G$5,0)))&lt;=1,"Yes","No"),"Check"))</f>
        <v/>
      </c>
      <c r="M268" s="43" t="n">
        <v>0</v>
      </c>
      <c r="N268" s="29" t="inlineStr">
        <is>
          <t>No (Allocated)</t>
        </is>
      </c>
      <c r="O268" s="39" t="n">
        <v>0</v>
      </c>
      <c r="P268" s="27" t="n"/>
      <c r="Q268" s="29">
        <f>IF(N268&lt;&gt;"Yes","n/a",IF(OR(AND(O268&lt;&gt;"",O268&gt;$W$1),P268="Y"),"Yes",IF(O268&lt;&gt;"","No","Pending")))</f>
        <v/>
      </c>
      <c r="R268" s="29" t="n"/>
      <c r="S268" s="29" t="inlineStr">
        <is>
          <t>Carolina Prieto</t>
        </is>
      </c>
      <c r="T268" s="29" t="inlineStr">
        <is>
          <t>State</t>
        </is>
      </c>
      <c r="U268" s="29" t="n"/>
      <c r="X268" s="19" t="inlineStr">
        <is>
          <t>D</t>
        </is>
      </c>
      <c r="Y268" s="19" t="n">
        <v>34.7</v>
      </c>
      <c r="Z268" s="44" t="n">
        <v>0.75</v>
      </c>
      <c r="AA268" s="51" t="n">
        <v>0.5082</v>
      </c>
      <c r="AB268" s="47" t="n">
        <v>4</v>
      </c>
      <c r="AC268" s="19" t="inlineStr">
        <is>
          <t>Maintain</t>
        </is>
      </c>
      <c r="AD268" s="19" t="n">
        <v>0</v>
      </c>
      <c r="AE268" s="19" t="inlineStr">
        <is>
          <t>imputed</t>
        </is>
      </c>
    </row>
    <row r="269" ht="15" customHeight="1" s="20">
      <c r="A269" s="29" t="inlineStr">
        <is>
          <t>North Dakota Ethics Commission</t>
        </is>
      </c>
      <c r="B269" s="29" t="inlineStr">
        <is>
          <t>North Dakota</t>
        </is>
      </c>
      <c r="C269" s="29" t="inlineStr">
        <is>
          <t>ND</t>
        </is>
      </c>
      <c r="D269" s="29" t="inlineStr">
        <is>
          <t>State</t>
        </is>
      </c>
      <c r="E269" s="29" t="inlineStr">
        <is>
          <t>Scott Mark</t>
        </is>
      </c>
      <c r="F269" s="29" t="inlineStr">
        <is>
          <t>Brooke Minichino</t>
        </is>
      </c>
      <c r="G269" s="39" t="inlineStr">
        <is>
          <t>Carolina Prieto</t>
        </is>
      </c>
      <c r="H269" s="29">
        <f>IF(F269="(not in WIP)","New to Enterprise",IF(F269=G269,"No","Yes"))</f>
        <v/>
      </c>
      <c r="I269" s="29">
        <f>IFERROR(INDEX(Lookups!$B$2:$B$14,MATCH(G269,Lookups!$A$2:$A$14,0)),"Not found")</f>
        <v/>
      </c>
      <c r="J269" s="29">
        <f>IFERROR(INDEX(Lookups!$E$2:$E$14,MATCH(G269,Lookups!$A$2:$A$14,0)),"")</f>
        <v/>
      </c>
      <c r="K269" s="39" t="inlineStr">
        <is>
          <t>CT</t>
        </is>
      </c>
      <c r="L269" s="29">
        <f>IF(J269="n/a","n/a",IFERROR(IF(ABS(INDEX(Lookups!$H$2:$H$5,MATCH(J269,Lookups!$G$2:$G$5,0))-INDEX(Lookups!$H$2:$H$5,MATCH(K269,Lookups!$G$2:$G$5,0)))&lt;=1,"Yes","No"),"Check"))</f>
        <v/>
      </c>
      <c r="M269" s="43" t="n">
        <v>0</v>
      </c>
      <c r="N269" s="29" t="inlineStr">
        <is>
          <t>Yes</t>
        </is>
      </c>
      <c r="O269" s="39" t="n">
        <v>0</v>
      </c>
      <c r="P269" s="27" t="n"/>
      <c r="Q269" s="29">
        <f>IF(N269&lt;&gt;"Yes","n/a",IF(OR(AND(O269&lt;&gt;"",O269&gt;$W$1),P269="Y"),"Yes",IF(O269&lt;&gt;"","No","Pending")))</f>
        <v/>
      </c>
      <c r="R269" s="29" t="n"/>
      <c r="S269" s="29" t="inlineStr">
        <is>
          <t>Carolina Prieto</t>
        </is>
      </c>
      <c r="T269" s="29" t="inlineStr">
        <is>
          <t>State</t>
        </is>
      </c>
      <c r="U269" s="29" t="n"/>
      <c r="X269" s="19" t="inlineStr">
        <is>
          <t>D</t>
        </is>
      </c>
      <c r="Y269" s="19" t="n">
        <v>34.7</v>
      </c>
      <c r="Z269" s="44" t="n">
        <v>0.75</v>
      </c>
      <c r="AA269" s="51" t="n">
        <v>0.5082</v>
      </c>
      <c r="AB269" s="47" t="n">
        <v>4</v>
      </c>
      <c r="AC269" s="19" t="inlineStr">
        <is>
          <t>Maintain</t>
        </is>
      </c>
      <c r="AD269" s="19" t="n">
        <v>0.3</v>
      </c>
      <c r="AE269" s="19" t="inlineStr">
        <is>
          <t>imputed</t>
        </is>
      </c>
    </row>
    <row r="270" ht="15" customHeight="1" s="20">
      <c r="A270" s="29" t="inlineStr">
        <is>
          <t>North Dakota Housing Finance Agency</t>
        </is>
      </c>
      <c r="B270" s="29" t="inlineStr">
        <is>
          <t>North Dakota</t>
        </is>
      </c>
      <c r="C270" s="29" t="inlineStr">
        <is>
          <t>ND</t>
        </is>
      </c>
      <c r="D270" s="29" t="inlineStr">
        <is>
          <t>State</t>
        </is>
      </c>
      <c r="E270" s="29" t="inlineStr">
        <is>
          <t>Scott Mark</t>
        </is>
      </c>
      <c r="F270" s="29" t="inlineStr">
        <is>
          <t>Brooke Minichino</t>
        </is>
      </c>
      <c r="G270" s="39" t="inlineStr">
        <is>
          <t>Carolina Prieto</t>
        </is>
      </c>
      <c r="H270" s="29">
        <f>IF(F270="(not in WIP)","New to Enterprise",IF(F270=G270,"No","Yes"))</f>
        <v/>
      </c>
      <c r="I270" s="29">
        <f>IFERROR(INDEX(Lookups!$B$2:$B$14,MATCH(G270,Lookups!$A$2:$A$14,0)),"Not found")</f>
        <v/>
      </c>
      <c r="J270" s="29">
        <f>IFERROR(INDEX(Lookups!$E$2:$E$14,MATCH(G270,Lookups!$A$2:$A$14,0)),"")</f>
        <v/>
      </c>
      <c r="K270" s="39" t="inlineStr">
        <is>
          <t>CT</t>
        </is>
      </c>
      <c r="L270" s="29">
        <f>IF(J270="n/a","n/a",IFERROR(IF(ABS(INDEX(Lookups!$H$2:$H$5,MATCH(J270,Lookups!$G$2:$G$5,0))-INDEX(Lookups!$H$2:$H$5,MATCH(K270,Lookups!$G$2:$G$5,0)))&lt;=1,"Yes","No"),"Check"))</f>
        <v/>
      </c>
      <c r="M270" s="43" t="n">
        <v>0</v>
      </c>
      <c r="N270" s="29" t="inlineStr">
        <is>
          <t>No (Allocated)</t>
        </is>
      </c>
      <c r="O270" s="39" t="n">
        <v>0</v>
      </c>
      <c r="P270" s="27" t="n"/>
      <c r="Q270" s="29">
        <f>IF(N270&lt;&gt;"Yes","n/a",IF(OR(AND(O270&lt;&gt;"",O270&gt;$W$1),P270="Y"),"Yes",IF(O270&lt;&gt;"","No","Pending")))</f>
        <v/>
      </c>
      <c r="R270" s="29" t="n"/>
      <c r="S270" s="29" t="inlineStr">
        <is>
          <t>Carolina Prieto</t>
        </is>
      </c>
      <c r="T270" s="29" t="inlineStr">
        <is>
          <t>State</t>
        </is>
      </c>
      <c r="U270" s="29" t="n"/>
      <c r="X270" s="19" t="inlineStr">
        <is>
          <t>D</t>
        </is>
      </c>
      <c r="Y270" s="19" t="n">
        <v>34.7</v>
      </c>
      <c r="Z270" s="44" t="n">
        <v>0.75</v>
      </c>
      <c r="AA270" s="51" t="n">
        <v>0.5082</v>
      </c>
      <c r="AB270" s="47" t="n">
        <v>4</v>
      </c>
      <c r="AC270" s="19" t="inlineStr">
        <is>
          <t>Maintain</t>
        </is>
      </c>
      <c r="AD270" s="19" t="n">
        <v>0</v>
      </c>
      <c r="AE270" s="19" t="inlineStr">
        <is>
          <t>imputed</t>
        </is>
      </c>
    </row>
    <row r="271" ht="15" customHeight="1" s="20">
      <c r="A271" s="29" t="inlineStr">
        <is>
          <t>North Dakota Securities Department</t>
        </is>
      </c>
      <c r="B271" s="29" t="inlineStr">
        <is>
          <t>North Dakota</t>
        </is>
      </c>
      <c r="C271" s="29" t="inlineStr">
        <is>
          <t>ND</t>
        </is>
      </c>
      <c r="D271" s="29" t="inlineStr">
        <is>
          <t>State</t>
        </is>
      </c>
      <c r="E271" s="29" t="inlineStr">
        <is>
          <t>Scott Mark</t>
        </is>
      </c>
      <c r="F271" s="29" t="inlineStr">
        <is>
          <t>Brooke Minichino</t>
        </is>
      </c>
      <c r="G271" s="39" t="inlineStr">
        <is>
          <t>Carolina Prieto</t>
        </is>
      </c>
      <c r="H271" s="29">
        <f>IF(F271="(not in WIP)","New to Enterprise",IF(F271=G271,"No","Yes"))</f>
        <v/>
      </c>
      <c r="I271" s="29">
        <f>IFERROR(INDEX(Lookups!$B$2:$B$14,MATCH(G271,Lookups!$A$2:$A$14,0)),"Not found")</f>
        <v/>
      </c>
      <c r="J271" s="29">
        <f>IFERROR(INDEX(Lookups!$E$2:$E$14,MATCH(G271,Lookups!$A$2:$A$14,0)),"")</f>
        <v/>
      </c>
      <c r="K271" s="39" t="inlineStr">
        <is>
          <t>CT</t>
        </is>
      </c>
      <c r="L271" s="29">
        <f>IF(J271="n/a","n/a",IFERROR(IF(ABS(INDEX(Lookups!$H$2:$H$5,MATCH(J271,Lookups!$G$2:$G$5,0))-INDEX(Lookups!$H$2:$H$5,MATCH(K271,Lookups!$G$2:$G$5,0)))&lt;=1,"Yes","No"),"Check"))</f>
        <v/>
      </c>
      <c r="M271" s="43" t="n">
        <v>0</v>
      </c>
      <c r="N271" s="29" t="inlineStr">
        <is>
          <t>No (Allocated)</t>
        </is>
      </c>
      <c r="O271" s="39" t="n">
        <v>0</v>
      </c>
      <c r="P271" s="27" t="n"/>
      <c r="Q271" s="29">
        <f>IF(N271&lt;&gt;"Yes","n/a",IF(OR(AND(O271&lt;&gt;"",O271&gt;$W$1),P271="Y"),"Yes",IF(O271&lt;&gt;"","No","Pending")))</f>
        <v/>
      </c>
      <c r="R271" s="29" t="n"/>
      <c r="S271" s="29" t="inlineStr">
        <is>
          <t>Carolina Prieto</t>
        </is>
      </c>
      <c r="T271" s="29" t="inlineStr">
        <is>
          <t>State</t>
        </is>
      </c>
      <c r="U271" s="29" t="n"/>
      <c r="X271" s="19" t="inlineStr">
        <is>
          <t>D</t>
        </is>
      </c>
      <c r="Y271" s="19" t="n">
        <v>34.7</v>
      </c>
      <c r="Z271" s="44" t="n">
        <v>0.75</v>
      </c>
      <c r="AA271" s="51" t="n">
        <v>0.5082</v>
      </c>
      <c r="AB271" s="47" t="n">
        <v>4</v>
      </c>
      <c r="AC271" s="19" t="inlineStr">
        <is>
          <t>Maintain</t>
        </is>
      </c>
      <c r="AD271" s="19" t="n">
        <v>0</v>
      </c>
      <c r="AE271" s="19" t="inlineStr">
        <is>
          <t>imputed</t>
        </is>
      </c>
    </row>
    <row r="272" ht="15" customHeight="1" s="20">
      <c r="A272" s="29" t="inlineStr">
        <is>
          <t>North Dakota Office of Management and Budget</t>
        </is>
      </c>
      <c r="B272" s="29" t="inlineStr">
        <is>
          <t>North Dakota</t>
        </is>
      </c>
      <c r="C272" s="29" t="inlineStr">
        <is>
          <t>ND</t>
        </is>
      </c>
      <c r="D272" s="29" t="inlineStr">
        <is>
          <t>State</t>
        </is>
      </c>
      <c r="E272" s="29" t="inlineStr">
        <is>
          <t>Scott Mark</t>
        </is>
      </c>
      <c r="F272" s="29" t="inlineStr">
        <is>
          <t>Brooke Minichino</t>
        </is>
      </c>
      <c r="G272" s="39" t="inlineStr">
        <is>
          <t>Carolina Prieto</t>
        </is>
      </c>
      <c r="H272" s="29">
        <f>IF(F272="(not in WIP)","New to Enterprise",IF(F272=G272,"No","Yes"))</f>
        <v/>
      </c>
      <c r="I272" s="29">
        <f>IFERROR(INDEX(Lookups!$B$2:$B$14,MATCH(G272,Lookups!$A$2:$A$14,0)),"Not found")</f>
        <v/>
      </c>
      <c r="J272" s="29">
        <f>IFERROR(INDEX(Lookups!$E$2:$E$14,MATCH(G272,Lookups!$A$2:$A$14,0)),"")</f>
        <v/>
      </c>
      <c r="K272" s="39" t="inlineStr">
        <is>
          <t>CT</t>
        </is>
      </c>
      <c r="L272" s="29">
        <f>IF(J272="n/a","n/a",IFERROR(IF(ABS(INDEX(Lookups!$H$2:$H$5,MATCH(J272,Lookups!$G$2:$G$5,0))-INDEX(Lookups!$H$2:$H$5,MATCH(K272,Lookups!$G$2:$G$5,0)))&lt;=1,"Yes","No"),"Check"))</f>
        <v/>
      </c>
      <c r="M272" s="43" t="n">
        <v>0</v>
      </c>
      <c r="N272" s="29" t="inlineStr">
        <is>
          <t>No (Allocated)</t>
        </is>
      </c>
      <c r="O272" s="39" t="n">
        <v>0</v>
      </c>
      <c r="P272" s="27" t="n"/>
      <c r="Q272" s="29">
        <f>IF(N272&lt;&gt;"Yes","n/a",IF(OR(AND(O272&lt;&gt;"",O272&gt;$W$1),P272="Y"),"Yes",IF(O272&lt;&gt;"","No","Pending")))</f>
        <v/>
      </c>
      <c r="R272" s="29" t="n"/>
      <c r="S272" s="29" t="inlineStr">
        <is>
          <t>Carolina Prieto</t>
        </is>
      </c>
      <c r="T272" s="29" t="inlineStr">
        <is>
          <t>State</t>
        </is>
      </c>
      <c r="U272" s="29" t="n"/>
      <c r="X272" s="19" t="inlineStr">
        <is>
          <t>D</t>
        </is>
      </c>
      <c r="Y272" s="19" t="n">
        <v>34.7</v>
      </c>
      <c r="Z272" s="44" t="n">
        <v>0.75</v>
      </c>
      <c r="AA272" s="51" t="n">
        <v>0.5082</v>
      </c>
      <c r="AB272" s="47" t="n">
        <v>4</v>
      </c>
      <c r="AC272" s="19" t="inlineStr">
        <is>
          <t>Maintain</t>
        </is>
      </c>
      <c r="AD272" s="19" t="n">
        <v>0</v>
      </c>
      <c r="AE272" s="19" t="inlineStr">
        <is>
          <t>imputed</t>
        </is>
      </c>
    </row>
    <row r="273" ht="15" customHeight="1" s="20">
      <c r="A273" s="29" t="inlineStr">
        <is>
          <t>North Dakota Insurance Department</t>
        </is>
      </c>
      <c r="B273" s="29" t="inlineStr">
        <is>
          <t>North Dakota</t>
        </is>
      </c>
      <c r="C273" s="29" t="inlineStr">
        <is>
          <t>ND</t>
        </is>
      </c>
      <c r="D273" s="29" t="inlineStr">
        <is>
          <t>State</t>
        </is>
      </c>
      <c r="E273" s="29" t="inlineStr">
        <is>
          <t>Scott Mark</t>
        </is>
      </c>
      <c r="F273" s="29" t="inlineStr">
        <is>
          <t>Brooke Minichino</t>
        </is>
      </c>
      <c r="G273" s="39" t="inlineStr">
        <is>
          <t>Carolina Prieto</t>
        </is>
      </c>
      <c r="H273" s="29">
        <f>IF(F273="(not in WIP)","New to Enterprise",IF(F273=G273,"No","Yes"))</f>
        <v/>
      </c>
      <c r="I273" s="29">
        <f>IFERROR(INDEX(Lookups!$B$2:$B$14,MATCH(G273,Lookups!$A$2:$A$14,0)),"Not found")</f>
        <v/>
      </c>
      <c r="J273" s="29">
        <f>IFERROR(INDEX(Lookups!$E$2:$E$14,MATCH(G273,Lookups!$A$2:$A$14,0)),"")</f>
        <v/>
      </c>
      <c r="K273" s="39" t="inlineStr">
        <is>
          <t>CT</t>
        </is>
      </c>
      <c r="L273" s="29">
        <f>IF(J273="n/a","n/a",IFERROR(IF(ABS(INDEX(Lookups!$H$2:$H$5,MATCH(J273,Lookups!$G$2:$G$5,0))-INDEX(Lookups!$H$2:$H$5,MATCH(K273,Lookups!$G$2:$G$5,0)))&lt;=1,"Yes","No"),"Check"))</f>
        <v/>
      </c>
      <c r="M273" s="43" t="n">
        <v>0</v>
      </c>
      <c r="N273" s="29" t="inlineStr">
        <is>
          <t>No (Allocated)</t>
        </is>
      </c>
      <c r="O273" s="39" t="n">
        <v>0</v>
      </c>
      <c r="P273" s="27" t="n"/>
      <c r="Q273" s="29">
        <f>IF(N273&lt;&gt;"Yes","n/a",IF(OR(AND(O273&lt;&gt;"",O273&gt;$W$1),P273="Y"),"Yes",IF(O273&lt;&gt;"","No","Pending")))</f>
        <v/>
      </c>
      <c r="R273" s="29" t="n"/>
      <c r="S273" s="29" t="inlineStr">
        <is>
          <t>Carolina Prieto</t>
        </is>
      </c>
      <c r="T273" s="29" t="inlineStr">
        <is>
          <t>State</t>
        </is>
      </c>
      <c r="U273" s="29" t="n"/>
      <c r="X273" s="19" t="inlineStr">
        <is>
          <t>D</t>
        </is>
      </c>
      <c r="Y273" s="19" t="n">
        <v>34.7</v>
      </c>
      <c r="Z273" s="44" t="n">
        <v>0.75</v>
      </c>
      <c r="AA273" s="51" t="n">
        <v>0.5082</v>
      </c>
      <c r="AB273" s="47" t="n">
        <v>4</v>
      </c>
      <c r="AC273" s="19" t="inlineStr">
        <is>
          <t>Maintain</t>
        </is>
      </c>
      <c r="AD273" s="19" t="n">
        <v>0</v>
      </c>
      <c r="AE273" s="19" t="inlineStr">
        <is>
          <t>imputed</t>
        </is>
      </c>
    </row>
    <row r="274" ht="15" customHeight="1" s="20">
      <c r="A274" s="29" t="inlineStr">
        <is>
          <t>North Dakota State Library</t>
        </is>
      </c>
      <c r="B274" s="29" t="inlineStr">
        <is>
          <t>North Dakota</t>
        </is>
      </c>
      <c r="C274" s="29" t="inlineStr">
        <is>
          <t>ND</t>
        </is>
      </c>
      <c r="D274" s="29" t="inlineStr">
        <is>
          <t>State</t>
        </is>
      </c>
      <c r="E274" s="29" t="inlineStr">
        <is>
          <t>Scott Mark</t>
        </is>
      </c>
      <c r="F274" s="29" t="inlineStr">
        <is>
          <t>Brooke Minichino</t>
        </is>
      </c>
      <c r="G274" s="39" t="inlineStr">
        <is>
          <t>Carolina Prieto</t>
        </is>
      </c>
      <c r="H274" s="29">
        <f>IF(F274="(not in WIP)","New to Enterprise",IF(F274=G274,"No","Yes"))</f>
        <v/>
      </c>
      <c r="I274" s="29">
        <f>IFERROR(INDEX(Lookups!$B$2:$B$14,MATCH(G274,Lookups!$A$2:$A$14,0)),"Not found")</f>
        <v/>
      </c>
      <c r="J274" s="29">
        <f>IFERROR(INDEX(Lookups!$E$2:$E$14,MATCH(G274,Lookups!$A$2:$A$14,0)),"")</f>
        <v/>
      </c>
      <c r="K274" s="39" t="inlineStr">
        <is>
          <t>CT</t>
        </is>
      </c>
      <c r="L274" s="29">
        <f>IF(J274="n/a","n/a",IFERROR(IF(ABS(INDEX(Lookups!$H$2:$H$5,MATCH(J274,Lookups!$G$2:$G$5,0))-INDEX(Lookups!$H$2:$H$5,MATCH(K274,Lookups!$G$2:$G$5,0)))&lt;=1,"Yes","No"),"Check"))</f>
        <v/>
      </c>
      <c r="M274" s="43" t="n">
        <v>0</v>
      </c>
      <c r="N274" s="29" t="inlineStr">
        <is>
          <t>No (Allocated)</t>
        </is>
      </c>
      <c r="O274" s="39" t="n">
        <v>0</v>
      </c>
      <c r="P274" s="27" t="n"/>
      <c r="Q274" s="29">
        <f>IF(N274&lt;&gt;"Yes","n/a",IF(OR(AND(O274&lt;&gt;"",O274&gt;$W$1),P274="Y"),"Yes",IF(O274&lt;&gt;"","No","Pending")))</f>
        <v/>
      </c>
      <c r="R274" s="29" t="n"/>
      <c r="S274" s="29" t="inlineStr">
        <is>
          <t>Carolina Prieto</t>
        </is>
      </c>
      <c r="T274" s="29" t="inlineStr">
        <is>
          <t>State</t>
        </is>
      </c>
      <c r="U274" s="29" t="n"/>
      <c r="X274" s="19" t="inlineStr">
        <is>
          <t>D</t>
        </is>
      </c>
      <c r="Y274" s="19" t="n">
        <v>34.7</v>
      </c>
      <c r="Z274" s="44" t="n">
        <v>0.75</v>
      </c>
      <c r="AA274" s="51" t="n">
        <v>0.5082</v>
      </c>
      <c r="AB274" s="47" t="n">
        <v>4</v>
      </c>
      <c r="AC274" s="19" t="inlineStr">
        <is>
          <t>Maintain</t>
        </is>
      </c>
      <c r="AD274" s="19" t="n">
        <v>0</v>
      </c>
      <c r="AE274" s="19" t="inlineStr">
        <is>
          <t>imputed</t>
        </is>
      </c>
    </row>
    <row r="275" ht="15" customHeight="1" s="20">
      <c r="A275" s="29" t="inlineStr">
        <is>
          <t>Housing Authority of the City of Pittsburgh</t>
        </is>
      </c>
      <c r="B275" s="29" t="inlineStr">
        <is>
          <t>Pittsburgh, PA</t>
        </is>
      </c>
      <c r="C275" s="29" t="inlineStr">
        <is>
          <t>PA</t>
        </is>
      </c>
      <c r="D275" s="29" t="inlineStr">
        <is>
          <t>Local ENT</t>
        </is>
      </c>
      <c r="E275" s="29" t="inlineStr">
        <is>
          <t>Andrew Wyzkoski</t>
        </is>
      </c>
      <c r="F275" s="29" t="inlineStr">
        <is>
          <t>(not in WIP)</t>
        </is>
      </c>
      <c r="G275" s="39" t="inlineStr">
        <is>
          <t>Carolina Prieto</t>
        </is>
      </c>
      <c r="H275" s="29">
        <f>IF(F275="(not in WIP)","New to Enterprise",IF(F275=G275,"No","Yes"))</f>
        <v/>
      </c>
      <c r="I275" s="29">
        <f>IFERROR(INDEX(Lookups!$B$2:$B$14,MATCH(G275,Lookups!$A$2:$A$14,0)),"Not found")</f>
        <v/>
      </c>
      <c r="J275" s="29">
        <f>IFERROR(INDEX(Lookups!$E$2:$E$14,MATCH(G275,Lookups!$A$2:$A$14,0)),"")</f>
        <v/>
      </c>
      <c r="K275" s="39" t="inlineStr">
        <is>
          <t>ET</t>
        </is>
      </c>
      <c r="L275" s="29">
        <f>IF(J275="n/a","n/a",IFERROR(IF(ABS(INDEX(Lookups!$H$2:$H$5,MATCH(J275,Lookups!$G$2:$G$5,0))-INDEX(Lookups!$H$2:$H$5,MATCH(K275,Lookups!$G$2:$G$5,0)))&lt;=1,"Yes","No"),"Check"))</f>
        <v/>
      </c>
      <c r="M275" s="43" t="n">
        <v>121248.64</v>
      </c>
      <c r="N275" s="29" t="inlineStr">
        <is>
          <t>Yes</t>
        </is>
      </c>
      <c r="O275" s="39" t="n">
        <v>6</v>
      </c>
      <c r="P275" s="27" t="n"/>
      <c r="Q275" s="29">
        <f>IF(N275&lt;&gt;"Yes","n/a",IF(OR(AND(O275&lt;&gt;"",O275&gt;$W$1),P275="Y"),"Yes",IF(O275&lt;&gt;"","No","Pending")))</f>
        <v/>
      </c>
      <c r="R275" s="29" t="n"/>
      <c r="S275" s="29" t="inlineStr">
        <is>
          <t>Carolina Prieto</t>
        </is>
      </c>
      <c r="T275" s="29" t="inlineStr">
        <is>
          <t>Local ENT</t>
        </is>
      </c>
      <c r="U275" s="29" t="inlineStr">
        <is>
          <t>Email &amp; SMS, Engagement &amp; Sentiment, Experience Agents, Forms &amp; Workflows, Recurring Services, Websites, Portals, &amp; Intranets</t>
        </is>
      </c>
      <c r="X275" s="19" t="inlineStr">
        <is>
          <t>B</t>
        </is>
      </c>
      <c r="Y275" s="19" t="n">
        <v>57.9</v>
      </c>
      <c r="Z275" s="44" t="n">
        <v>0.25</v>
      </c>
      <c r="AA275" s="51" t="n">
        <v>0.4474</v>
      </c>
      <c r="AB275" s="46" t="n">
        <v>3</v>
      </c>
      <c r="AC275" s="19" t="inlineStr">
        <is>
          <t>Defend</t>
        </is>
      </c>
      <c r="AD275" s="19" t="n">
        <v>0.5</v>
      </c>
      <c r="AE275" s="19" t="inlineStr">
        <is>
          <t>reported</t>
        </is>
      </c>
    </row>
    <row r="276" ht="15" customHeight="1" s="20">
      <c r="A276" s="29" t="inlineStr">
        <is>
          <t>Allegheny County Treasurer Office</t>
        </is>
      </c>
      <c r="B276" s="29" t="inlineStr">
        <is>
          <t>Allegheny County PA</t>
        </is>
      </c>
      <c r="C276" s="29" t="inlineStr">
        <is>
          <t>PA</t>
        </is>
      </c>
      <c r="D276" s="29" t="inlineStr">
        <is>
          <t>Local ENT</t>
        </is>
      </c>
      <c r="E276" s="29" t="inlineStr">
        <is>
          <t>Andrew Wyzkoski</t>
        </is>
      </c>
      <c r="F276" s="29" t="inlineStr">
        <is>
          <t>Halena Martin</t>
        </is>
      </c>
      <c r="G276" s="39" t="inlineStr">
        <is>
          <t>Carolina Prieto</t>
        </is>
      </c>
      <c r="H276" s="29">
        <f>IF(F276="(not in WIP)","New to Enterprise",IF(F276=G276,"No","Yes"))</f>
        <v/>
      </c>
      <c r="I276" s="29">
        <f>IFERROR(INDEX(Lookups!$B$2:$B$14,MATCH(G276,Lookups!$A$2:$A$14,0)),"Not found")</f>
        <v/>
      </c>
      <c r="J276" s="29">
        <f>IFERROR(INDEX(Lookups!$E$2:$E$14,MATCH(G276,Lookups!$A$2:$A$14,0)),"")</f>
        <v/>
      </c>
      <c r="K276" s="39" t="inlineStr">
        <is>
          <t>ET</t>
        </is>
      </c>
      <c r="L276" s="29">
        <f>IF(J276="n/a","n/a",IFERROR(IF(ABS(INDEX(Lookups!$H$2:$H$5,MATCH(J276,Lookups!$G$2:$G$5,0))-INDEX(Lookups!$H$2:$H$5,MATCH(K276,Lookups!$G$2:$G$5,0)))&lt;=1,"Yes","No"),"Check"))</f>
        <v/>
      </c>
      <c r="M276" s="43" t="n">
        <v>87337.71000000001</v>
      </c>
      <c r="N276" s="29" t="inlineStr">
        <is>
          <t>Yes</t>
        </is>
      </c>
      <c r="O276" s="39" t="n">
        <v>5</v>
      </c>
      <c r="P276" s="27" t="n"/>
      <c r="Q276" s="29">
        <f>IF(N276&lt;&gt;"Yes","n/a",IF(OR(AND(O276&lt;&gt;"",O276&gt;$W$1),P276="Y"),"Yes",IF(O276&lt;&gt;"","No","Pending")))</f>
        <v/>
      </c>
      <c r="R276" s="29" t="n"/>
      <c r="S276" s="29" t="inlineStr">
        <is>
          <t>Carolina Prieto</t>
        </is>
      </c>
      <c r="T276" s="29" t="inlineStr">
        <is>
          <t>Local ENT</t>
        </is>
      </c>
      <c r="U276" s="29" t="inlineStr">
        <is>
          <t>Email &amp; SMS, Engagement &amp; Sentiment, Forms &amp; Workflows, Recurring Services, Websites, Portals, &amp; Intranets</t>
        </is>
      </c>
      <c r="X276" s="19" t="inlineStr">
        <is>
          <t>B</t>
        </is>
      </c>
      <c r="Y276" s="19" t="n">
        <v>57.9</v>
      </c>
      <c r="Z276" s="44" t="n">
        <v>0.375</v>
      </c>
      <c r="AA276" s="51" t="n">
        <v>0.4974</v>
      </c>
      <c r="AB276" s="47" t="n">
        <v>4</v>
      </c>
      <c r="AC276" s="19" t="inlineStr">
        <is>
          <t>Maintain</t>
        </is>
      </c>
      <c r="AD276" s="19" t="n">
        <v>0.3</v>
      </c>
      <c r="AE276" s="19" t="inlineStr">
        <is>
          <t>reported</t>
        </is>
      </c>
    </row>
    <row r="277" ht="15" customHeight="1" s="20">
      <c r="A277" s="29" t="inlineStr">
        <is>
          <t>Nashville-Davidson County TN</t>
        </is>
      </c>
      <c r="B277" s="29" t="inlineStr">
        <is>
          <t>Nashville-Davidson County TN</t>
        </is>
      </c>
      <c r="C277" s="29" t="inlineStr">
        <is>
          <t>TN</t>
        </is>
      </c>
      <c r="D277" s="29" t="inlineStr">
        <is>
          <t>Local ENT</t>
        </is>
      </c>
      <c r="E277" s="29" t="inlineStr">
        <is>
          <t>Carter Bradford</t>
        </is>
      </c>
      <c r="F277" s="29" t="inlineStr">
        <is>
          <t>Marcy Castro</t>
        </is>
      </c>
      <c r="G277" s="39" t="inlineStr">
        <is>
          <t>Carolina Prieto</t>
        </is>
      </c>
      <c r="H277" s="29">
        <f>IF(F277="(not in WIP)","New to Enterprise",IF(F277=G277,"No","Yes"))</f>
        <v/>
      </c>
      <c r="I277" s="29">
        <f>IFERROR(INDEX(Lookups!$B$2:$B$14,MATCH(G277,Lookups!$A$2:$A$14,0)),"Not found")</f>
        <v/>
      </c>
      <c r="J277" s="29">
        <f>IFERROR(INDEX(Lookups!$E$2:$E$14,MATCH(G277,Lookups!$A$2:$A$14,0)),"")</f>
        <v/>
      </c>
      <c r="K277" s="39" t="inlineStr">
        <is>
          <t>CT</t>
        </is>
      </c>
      <c r="L277" s="29">
        <f>IF(J277="n/a","n/a",IFERROR(IF(ABS(INDEX(Lookups!$H$2:$H$5,MATCH(J277,Lookups!$G$2:$G$5,0))-INDEX(Lookups!$H$2:$H$5,MATCH(K277,Lookups!$G$2:$G$5,0)))&lt;=1,"Yes","No"),"Check"))</f>
        <v/>
      </c>
      <c r="M277" s="43" t="n">
        <v>538906.86</v>
      </c>
      <c r="N277" s="29" t="inlineStr">
        <is>
          <t>Yes</t>
        </is>
      </c>
      <c r="O277" s="39" t="n">
        <v>7</v>
      </c>
      <c r="P277" s="27" t="n"/>
      <c r="Q277" s="29">
        <f>IF(N277&lt;&gt;"Yes","n/a",IF(OR(AND(O277&lt;&gt;"",O277&gt;$W$1),P277="Y"),"Yes",IF(O277&lt;&gt;"","No","Pending")))</f>
        <v/>
      </c>
      <c r="R277" s="29" t="n"/>
      <c r="S277" s="29" t="inlineStr">
        <is>
          <t>Carolina Prieto</t>
        </is>
      </c>
      <c r="T277" s="29" t="inlineStr">
        <is>
          <t>Local ENT</t>
        </is>
      </c>
      <c r="U277" s="29" t="inlineStr">
        <is>
          <t>Agenda &amp; Video, Email &amp; SMS, Engagement &amp; Sentiment, Experience Agents, Public Records Request, Recurring Services, Short-term Rentals</t>
        </is>
      </c>
      <c r="X277" s="19" t="inlineStr">
        <is>
          <t>B</t>
        </is>
      </c>
      <c r="Y277" s="19" t="n">
        <v>48.7</v>
      </c>
      <c r="Z277" s="44" t="n">
        <v>0.125</v>
      </c>
      <c r="AA277" s="51" t="n">
        <v>0.3422</v>
      </c>
      <c r="AB277" s="46" t="n">
        <v>3</v>
      </c>
      <c r="AC277" s="19" t="inlineStr">
        <is>
          <t>Defend</t>
        </is>
      </c>
      <c r="AD277" s="19" t="n">
        <v>0.5</v>
      </c>
      <c r="AE277" s="19" t="inlineStr">
        <is>
          <t>reported</t>
        </is>
      </c>
    </row>
    <row r="278" ht="15" customHeight="1" s="20">
      <c r="A278" s="29" t="inlineStr">
        <is>
          <t>Outagamie County, WI</t>
        </is>
      </c>
      <c r="B278" s="29" t="inlineStr">
        <is>
          <t>Outagamie County, WI</t>
        </is>
      </c>
      <c r="C278" s="29" t="inlineStr">
        <is>
          <t>WI</t>
        </is>
      </c>
      <c r="D278" s="29" t="inlineStr">
        <is>
          <t>Local ENT</t>
        </is>
      </c>
      <c r="E278" s="29" t="inlineStr">
        <is>
          <t>Tyler Carlson</t>
        </is>
      </c>
      <c r="F278" s="29" t="inlineStr">
        <is>
          <t>Brooke Minichino</t>
        </is>
      </c>
      <c r="G278" s="39" t="inlineStr">
        <is>
          <t>Carolina Prieto</t>
        </is>
      </c>
      <c r="H278" s="29">
        <f>IF(F278="(not in WIP)","New to Enterprise",IF(F278=G278,"No","Yes"))</f>
        <v/>
      </c>
      <c r="I278" s="29">
        <f>IFERROR(INDEX(Lookups!$B$2:$B$14,MATCH(G278,Lookups!$A$2:$A$14,0)),"Not found")</f>
        <v/>
      </c>
      <c r="J278" s="29">
        <f>IFERROR(INDEX(Lookups!$E$2:$E$14,MATCH(G278,Lookups!$A$2:$A$14,0)),"")</f>
        <v/>
      </c>
      <c r="K278" s="39" t="inlineStr">
        <is>
          <t>CT</t>
        </is>
      </c>
      <c r="L278" s="29">
        <f>IF(J278="n/a","n/a",IFERROR(IF(ABS(INDEX(Lookups!$H$2:$H$5,MATCH(J278,Lookups!$G$2:$G$5,0))-INDEX(Lookups!$H$2:$H$5,MATCH(K278,Lookups!$G$2:$G$5,0)))&lt;=1,"Yes","No"),"Check"))</f>
        <v/>
      </c>
      <c r="M278" s="43" t="n">
        <v>74934.23</v>
      </c>
      <c r="N278" s="29" t="inlineStr">
        <is>
          <t>Yes</t>
        </is>
      </c>
      <c r="O278" s="39" t="n">
        <v>6</v>
      </c>
      <c r="P278" s="27" t="n"/>
      <c r="Q278" s="29">
        <f>IF(N278&lt;&gt;"Yes","n/a",IF(OR(AND(O278&lt;&gt;"",O278&gt;$W$1),P278="Y"),"Yes",IF(O278&lt;&gt;"","No","Pending")))</f>
        <v/>
      </c>
      <c r="R278" s="29" t="n"/>
      <c r="S278" s="29" t="inlineStr">
        <is>
          <t>Carolina Prieto</t>
        </is>
      </c>
      <c r="T278" s="29" t="inlineStr">
        <is>
          <t>Local ENT</t>
        </is>
      </c>
      <c r="U278" s="29" t="inlineStr">
        <is>
          <t>Digital Consulting Services, Email &amp; SMS, Engagement &amp; Sentiment, Forms &amp; Workflows, Recurring Services, Websites, Portals, &amp; Intranets</t>
        </is>
      </c>
      <c r="X278" s="19" t="inlineStr">
        <is>
          <t>C</t>
        </is>
      </c>
      <c r="Y278" s="19" t="n">
        <v>44.7</v>
      </c>
      <c r="Z278" s="44" t="n">
        <v>0.25</v>
      </c>
      <c r="AA278" s="51" t="n">
        <v>0.3682</v>
      </c>
      <c r="AB278" s="47" t="n">
        <v>4</v>
      </c>
      <c r="AC278" s="19" t="inlineStr">
        <is>
          <t>Maintain</t>
        </is>
      </c>
      <c r="AD278" s="19" t="n">
        <v>0.3</v>
      </c>
      <c r="AE278" s="19" t="inlineStr">
        <is>
          <t>reported</t>
        </is>
      </c>
    </row>
    <row r="280" ht="15" customHeight="1" s="20">
      <c r="A280" s="36" t="inlineStr">
        <is>
          <t>Blue text = hardcoded inputs. Revised XP (column G) is editable from a dropdown. Column O is counted from Account Product Categories in the 9/21 export; column P (yellow) takes a Y where an account is Service Cloud Advanced.</t>
        </is>
      </c>
    </row>
  </sheetData>
  <autoFilter ref="A1:AE278"/>
  <dataValidations count="3">
    <dataValidation sqref="P2:P278" showDropDown="0" showInputMessage="0" showErrorMessage="0" allowBlank="1" type="list" errorStyle="stop" operator="between">
      <formula1>"Y,N"</formula1>
      <formula2>0</formula2>
    </dataValidation>
    <dataValidation sqref="O2:O278" showDropDown="0" showInputMessage="0" showErrorMessage="0" allowBlank="1" type="whole" errorStyle="stop" operator="between">
      <formula1>0</formula1>
      <formula2>50</formula2>
    </dataValidation>
    <dataValidation sqref="G2:G278" showDropDown="0" showInputMessage="0" showErrorMessage="0" allowBlank="0" type="list" errorStyle="stop" operator="between">
      <formula1>Lookups!$A$2:$A$14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2026-09-22T02:47:51Z</dcterms:created>
  <dcterms:modified xsi:type="dcterms:W3CDTF">2026-09-23T14:40:49Z</dcterms:modified>
  <cp:revision>0</cp:revision>
</cp:coreProperties>
</file>